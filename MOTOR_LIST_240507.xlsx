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uberant9\PycharmProjects\pythonProject\GITK\FC_C\"/>
    </mc:Choice>
  </mc:AlternateContent>
  <xr:revisionPtr revIDLastSave="0" documentId="13_ncr:1_{14D3742B-BBD0-4301-B812-669A2ABD1C6D}" xr6:coauthVersionLast="47" xr6:coauthVersionMax="47" xr10:uidLastSave="{00000000-0000-0000-0000-000000000000}"/>
  <bookViews>
    <workbookView xWindow="28680" yWindow="-5445" windowWidth="38640" windowHeight="21120" xr2:uid="{020A914D-F811-4EBE-879E-BC98BB91EB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2" i="1" l="1"/>
  <c r="V22" i="1"/>
  <c r="W22" i="1" s="1"/>
  <c r="U22" i="1"/>
  <c r="X21" i="1"/>
  <c r="V21" i="1"/>
  <c r="W21" i="1" s="1"/>
  <c r="U21" i="1"/>
  <c r="X20" i="1"/>
  <c r="V20" i="1"/>
  <c r="W20" i="1" s="1"/>
  <c r="U20" i="1"/>
  <c r="X19" i="1"/>
  <c r="W19" i="1"/>
  <c r="V19" i="1"/>
  <c r="U19" i="1"/>
  <c r="X18" i="1"/>
  <c r="V18" i="1"/>
  <c r="W18" i="1" s="1"/>
  <c r="U18" i="1"/>
  <c r="J18" i="1"/>
  <c r="V17" i="1"/>
  <c r="W17" i="1" s="1"/>
  <c r="U17" i="1"/>
  <c r="J17" i="1"/>
  <c r="X17" i="1" s="1"/>
  <c r="V16" i="1"/>
  <c r="W16" i="1" s="1"/>
  <c r="J16" i="1"/>
  <c r="U16" i="1" s="1"/>
  <c r="X15" i="1"/>
  <c r="W15" i="1"/>
  <c r="V15" i="1"/>
  <c r="J15" i="1"/>
  <c r="U15" i="1" s="1"/>
  <c r="X14" i="1"/>
  <c r="V14" i="1"/>
  <c r="W14" i="1" s="1"/>
  <c r="U14" i="1"/>
  <c r="X13" i="1"/>
  <c r="V13" i="1"/>
  <c r="W13" i="1" s="1"/>
  <c r="U13" i="1"/>
  <c r="X12" i="1"/>
  <c r="V12" i="1"/>
  <c r="W12" i="1" s="1"/>
  <c r="U12" i="1"/>
  <c r="X11" i="1"/>
  <c r="V11" i="1"/>
  <c r="W11" i="1" s="1"/>
  <c r="U11" i="1"/>
  <c r="X10" i="1"/>
  <c r="V10" i="1"/>
  <c r="W10" i="1" s="1"/>
  <c r="U10" i="1"/>
  <c r="X9" i="1"/>
  <c r="V9" i="1"/>
  <c r="W9" i="1" s="1"/>
  <c r="U9" i="1"/>
  <c r="X8" i="1"/>
  <c r="V8" i="1"/>
  <c r="W8" i="1" s="1"/>
  <c r="U8" i="1"/>
  <c r="X7" i="1"/>
  <c r="V7" i="1"/>
  <c r="W7" i="1" s="1"/>
  <c r="U7" i="1"/>
  <c r="X6" i="1"/>
  <c r="V6" i="1"/>
  <c r="W6" i="1" s="1"/>
  <c r="U6" i="1"/>
  <c r="X5" i="1"/>
  <c r="V5" i="1"/>
  <c r="W5" i="1" s="1"/>
  <c r="U5" i="1"/>
  <c r="X4" i="1"/>
  <c r="V4" i="1"/>
  <c r="W4" i="1" s="1"/>
  <c r="U4" i="1"/>
  <c r="X3" i="1"/>
  <c r="V3" i="1"/>
  <c r="W3" i="1" s="1"/>
  <c r="U3" i="1"/>
  <c r="X2" i="1"/>
  <c r="V2" i="1"/>
  <c r="W2" i="1" s="1"/>
  <c r="U2" i="1"/>
  <c r="X16" i="1" l="1"/>
</calcChain>
</file>

<file path=xl/sharedStrings.xml><?xml version="1.0" encoding="utf-8"?>
<sst xmlns="http://schemas.openxmlformats.org/spreadsheetml/2006/main" count="70" uniqueCount="59">
  <si>
    <t>型号</t>
    <phoneticPr fontId="2" type="noConversion"/>
  </si>
  <si>
    <t>直径</t>
    <phoneticPr fontId="2" type="noConversion"/>
  </si>
  <si>
    <t>额定电压</t>
  </si>
  <si>
    <t>空载转速</t>
  </si>
  <si>
    <t>空载电流</t>
  </si>
  <si>
    <t>额定转速</t>
  </si>
  <si>
    <t>额定转矩</t>
    <phoneticPr fontId="2" type="noConversion"/>
  </si>
  <si>
    <t>额定电流</t>
  </si>
  <si>
    <t>堵转转矩</t>
  </si>
  <si>
    <t>堵转电流</t>
  </si>
  <si>
    <t>最大效率</t>
  </si>
  <si>
    <t>相间电阻</t>
  </si>
  <si>
    <t>相间电感</t>
  </si>
  <si>
    <t>转矩常数</t>
  </si>
  <si>
    <t>转速常数</t>
  </si>
  <si>
    <t>转速 / 转矩梯度</t>
  </si>
  <si>
    <t>机械时间常数</t>
    <phoneticPr fontId="2" type="noConversion"/>
  </si>
  <si>
    <t>转子转动惯量</t>
  </si>
  <si>
    <t>最大转速</t>
  </si>
  <si>
    <t>电机质量</t>
    <phoneticPr fontId="2" type="noConversion"/>
  </si>
  <si>
    <t>最大功率</t>
    <phoneticPr fontId="2" type="noConversion"/>
  </si>
  <si>
    <t>额定功率</t>
    <phoneticPr fontId="2" type="noConversion"/>
  </si>
  <si>
    <t>功重比</t>
    <phoneticPr fontId="2" type="noConversion"/>
  </si>
  <si>
    <t>堵转功重比</t>
    <phoneticPr fontId="2" type="noConversion"/>
  </si>
  <si>
    <t>网址</t>
    <phoneticPr fontId="2" type="noConversion"/>
  </si>
  <si>
    <t>Datasheet-ECX-Prime-2023-235-EN-6V</t>
    <phoneticPr fontId="2" type="noConversion"/>
  </si>
  <si>
    <t>https://www.maxongroup.com.cn/medias/sys_master/root/9117743775774/Datasheet-ECX-Prime-2023-235-EN.pdf</t>
    <phoneticPr fontId="2" type="noConversion"/>
  </si>
  <si>
    <t>Datasheet-ECX-Prime-2023-235-EN-12V</t>
    <phoneticPr fontId="2" type="noConversion"/>
  </si>
  <si>
    <t>https://www.maxongroup.com.cn/medias/sys_master/root/9117743775774/Datasheet-ECX-Prime-2023-235-EN.pdf</t>
  </si>
  <si>
    <t>CN-174-3V</t>
    <phoneticPr fontId="2" type="noConversion"/>
  </si>
  <si>
    <t>100 000</t>
  </si>
  <si>
    <t>https://www.maxongroup.com.cn/medias/sys_master/root/8841745399838/CN-174.pdf</t>
    <phoneticPr fontId="2" type="noConversion"/>
  </si>
  <si>
    <t>CN-174-6V</t>
    <phoneticPr fontId="2" type="noConversion"/>
  </si>
  <si>
    <t>https://www.maxongroup.com.cn/medias/sys_master/root/8841745399838/CN-174.pdf</t>
  </si>
  <si>
    <t>CN-174-12V</t>
    <phoneticPr fontId="2" type="noConversion"/>
  </si>
  <si>
    <t>CN-173-6V</t>
    <phoneticPr fontId="2" type="noConversion"/>
  </si>
  <si>
    <t>https://www.maxongroup.com.cn/medias/sys_master/root/8841745301534/CN-173.pdf</t>
    <phoneticPr fontId="2" type="noConversion"/>
  </si>
  <si>
    <t>CN-173-12V</t>
    <phoneticPr fontId="2" type="noConversion"/>
  </si>
  <si>
    <t>https://www.maxongroup.com.cn/medias/sys_master/root/8841745301534/CN-173.pdf</t>
  </si>
  <si>
    <t>CN-176-6V</t>
    <phoneticPr fontId="2" type="noConversion"/>
  </si>
  <si>
    <t>https://www.maxongroup.com.cn/medias/sys_master/root/8841745694750/CN-176.pdf</t>
    <phoneticPr fontId="2" type="noConversion"/>
  </si>
  <si>
    <t>CN-176-9V</t>
    <phoneticPr fontId="2" type="noConversion"/>
  </si>
  <si>
    <t>https://www.maxongroup.com.cn/medias/sys_master/root/8841745694750/CN-176.pdf</t>
  </si>
  <si>
    <t>CN-176-12V</t>
    <phoneticPr fontId="2" type="noConversion"/>
  </si>
  <si>
    <t>CN-175-6</t>
    <phoneticPr fontId="2" type="noConversion"/>
  </si>
  <si>
    <t>https://www.maxongroup.com.cn/medias/sys_master/root/8841745498142/CN-175.pdf</t>
    <phoneticPr fontId="2" type="noConversion"/>
  </si>
  <si>
    <t>CN-175-12</t>
    <phoneticPr fontId="2" type="noConversion"/>
  </si>
  <si>
    <t>https://www.maxongroup.com.cn/medias/sys_master/root/8841745498142/CN-175.pdf</t>
  </si>
  <si>
    <t>CN-175-24</t>
    <phoneticPr fontId="2" type="noConversion"/>
  </si>
  <si>
    <t>CN_0620_B_FMM-6V</t>
    <phoneticPr fontId="2" type="noConversion"/>
  </si>
  <si>
    <t>https://faulhaber.com.cn/fileadmin/Import/Media/CN_0620_B_FMM.pdf</t>
  </si>
  <si>
    <t>CN_0620_B_FMM-12V</t>
    <phoneticPr fontId="2" type="noConversion"/>
  </si>
  <si>
    <t>CN_0824_B_FMM-6V</t>
    <phoneticPr fontId="2" type="noConversion"/>
  </si>
  <si>
    <t>CN_0824_B_FMM-12V</t>
    <phoneticPr fontId="2" type="noConversion"/>
  </si>
  <si>
    <t>otecs0921w-3</t>
    <phoneticPr fontId="2" type="noConversion"/>
  </si>
  <si>
    <t>http://www.wanzhida.cn/Products/otecs0921w.html</t>
  </si>
  <si>
    <t>otecs0921w-6</t>
    <phoneticPr fontId="2" type="noConversion"/>
  </si>
  <si>
    <t>otecs0921w-12</t>
    <phoneticPr fontId="2" type="noConversion"/>
  </si>
  <si>
    <t>otecs0921w-24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</si>
</sst>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1" fillId="0" borderId="0" xfId="1">
      <alignment vertical="center"/>
    </xf>
    <xf numFmtId="0" fontId="0" fillId="5" borderId="0" xfId="0" applyFill="1">
      <alignment vertical="center"/>
    </xf>
    <xf numFmtId="0" fontId="1" fillId="5" borderId="0" xfId="1" applyFill="1">
      <alignment vertical="center"/>
    </xf>
    <xf numFmtId="0" fontId="1" fillId="0" borderId="0" xfId="1" applyFill="1">
      <alignment vertical="center"/>
    </xf>
    <xf numFmtId="0" fontId="0" fillId="6" borderId="0" xfId="0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axongroup.com.cn/medias/sys_master/root/8841745301534/CN-173.pdf" TargetMode="External"/><Relationship Id="rId2" Type="http://schemas.openxmlformats.org/officeDocument/2006/relationships/hyperlink" Target="https://www.maxongroup.com.cn/medias/sys_master/root/8841745399838/CN-174.pdf" TargetMode="External"/><Relationship Id="rId1" Type="http://schemas.openxmlformats.org/officeDocument/2006/relationships/hyperlink" Target="https://www.maxongroup.com.cn/medias/sys_master/root/9117743775774/Datasheet-ECX-Prime-2023-235-EN.pdf" TargetMode="External"/><Relationship Id="rId5" Type="http://schemas.openxmlformats.org/officeDocument/2006/relationships/hyperlink" Target="https://www.maxongroup.com.cn/medias/sys_master/root/8841745498142/CN-175.pdf" TargetMode="External"/><Relationship Id="rId4" Type="http://schemas.openxmlformats.org/officeDocument/2006/relationships/hyperlink" Target="https://www.maxongroup.com.cn/medias/sys_master/root/8841745694750/CN-17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B2188-FB7E-4FAC-87ED-FBEDA572FA6D}">
  <dimension ref="A1:Y22"/>
  <sheetViews>
    <sheetView tabSelected="1" workbookViewId="0">
      <selection activeCell="Y4" sqref="Y4"/>
    </sheetView>
  </sheetViews>
  <sheetFormatPr defaultRowHeight="13.8" x14ac:dyDescent="0.25"/>
  <cols>
    <col min="1" max="1" width="37.5546875" customWidth="1"/>
    <col min="4" max="4" width="12.109375" customWidth="1"/>
    <col min="5" max="5" width="9.44140625" customWidth="1"/>
    <col min="6" max="7" width="12.77734375" customWidth="1"/>
    <col min="10" max="10" width="9.88671875" customWidth="1"/>
    <col min="12" max="12" width="9.77734375" customWidth="1"/>
    <col min="15" max="15" width="9.77734375" customWidth="1"/>
    <col min="16" max="16" width="15.6640625" customWidth="1"/>
    <col min="18" max="18" width="13" customWidth="1"/>
    <col min="19" max="19" width="14.109375" customWidth="1"/>
  </cols>
  <sheetData>
    <row r="1" spans="1:25" x14ac:dyDescent="0.25">
      <c r="A1" t="s">
        <v>0</v>
      </c>
      <c r="B1" t="s">
        <v>1</v>
      </c>
      <c r="C1" s="8" t="s">
        <v>2</v>
      </c>
      <c r="D1" t="s">
        <v>3</v>
      </c>
      <c r="E1" s="8" t="s">
        <v>4</v>
      </c>
      <c r="F1" t="s">
        <v>5</v>
      </c>
      <c r="G1" t="s">
        <v>6</v>
      </c>
      <c r="H1" t="s">
        <v>7</v>
      </c>
      <c r="I1" t="s">
        <v>8</v>
      </c>
      <c r="J1" s="8" t="s">
        <v>9</v>
      </c>
      <c r="K1" t="s">
        <v>10</v>
      </c>
      <c r="L1" s="8" t="s">
        <v>11</v>
      </c>
      <c r="M1" t="s">
        <v>12</v>
      </c>
      <c r="N1" t="s">
        <v>13</v>
      </c>
      <c r="O1" s="8" t="s">
        <v>14</v>
      </c>
      <c r="P1" t="s">
        <v>15</v>
      </c>
      <c r="Q1" t="s">
        <v>16</v>
      </c>
      <c r="R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t="s">
        <v>24</v>
      </c>
    </row>
    <row r="2" spans="1:25" x14ac:dyDescent="0.25">
      <c r="A2" s="3" t="s">
        <v>25</v>
      </c>
      <c r="B2" s="3">
        <v>6</v>
      </c>
      <c r="C2" s="8">
        <v>6</v>
      </c>
      <c r="D2" s="3">
        <v>36200</v>
      </c>
      <c r="E2" s="8">
        <v>83.8</v>
      </c>
      <c r="F2" s="3">
        <v>29300</v>
      </c>
      <c r="G2" s="3">
        <v>0.56799999999999995</v>
      </c>
      <c r="H2" s="3">
        <v>0.45</v>
      </c>
      <c r="I2" s="3">
        <v>3.09</v>
      </c>
      <c r="J2" s="8">
        <v>2.04</v>
      </c>
      <c r="K2" s="3">
        <v>64.8</v>
      </c>
      <c r="L2" s="8">
        <v>2.94</v>
      </c>
      <c r="M2" s="3">
        <v>1.8700000000000001E-2</v>
      </c>
      <c r="N2" s="3">
        <v>1.51</v>
      </c>
      <c r="O2" s="8">
        <v>6310</v>
      </c>
      <c r="P2" s="3">
        <v>12200</v>
      </c>
      <c r="Q2" s="3">
        <v>1.52</v>
      </c>
      <c r="R2" s="3">
        <v>1.1900000000000001E-2</v>
      </c>
      <c r="S2" s="3">
        <v>50000</v>
      </c>
      <c r="T2" s="3">
        <v>3</v>
      </c>
      <c r="U2" s="3">
        <f>C2*J2</f>
        <v>12.24</v>
      </c>
      <c r="V2" s="2">
        <f t="shared" ref="V2:V22" si="0">H2*C2</f>
        <v>2.7</v>
      </c>
      <c r="W2" s="2">
        <f t="shared" ref="W2:W22" si="1">V2/T2</f>
        <v>0.9</v>
      </c>
      <c r="X2" s="2">
        <f>C2*J2/T2</f>
        <v>4.08</v>
      </c>
      <c r="Y2" s="4" t="s">
        <v>26</v>
      </c>
    </row>
    <row r="3" spans="1:25" x14ac:dyDescent="0.25">
      <c r="A3" s="3" t="s">
        <v>27</v>
      </c>
      <c r="B3" s="3">
        <v>6</v>
      </c>
      <c r="C3" s="8">
        <v>12</v>
      </c>
      <c r="D3" s="3">
        <v>36200</v>
      </c>
      <c r="E3" s="8">
        <v>41.9</v>
      </c>
      <c r="F3" s="3">
        <v>29300</v>
      </c>
      <c r="G3" s="3">
        <v>0.56799999999999995</v>
      </c>
      <c r="H3" s="3">
        <v>0.22500000000000001</v>
      </c>
      <c r="I3" s="3">
        <v>3.09</v>
      </c>
      <c r="J3" s="8">
        <v>1.02</v>
      </c>
      <c r="K3" s="3">
        <v>64.8</v>
      </c>
      <c r="L3" s="8">
        <v>11.7</v>
      </c>
      <c r="M3" s="3">
        <v>7.46E-2</v>
      </c>
      <c r="N3" s="3">
        <v>3.03</v>
      </c>
      <c r="O3" s="8">
        <v>3150</v>
      </c>
      <c r="P3" s="3">
        <v>12200</v>
      </c>
      <c r="Q3" s="3">
        <v>1.52</v>
      </c>
      <c r="R3" s="3">
        <v>1.1900000000000001E-2</v>
      </c>
      <c r="S3" s="3">
        <v>50000</v>
      </c>
      <c r="T3" s="3">
        <v>3</v>
      </c>
      <c r="U3" s="3">
        <f>C3*J3</f>
        <v>12.24</v>
      </c>
      <c r="V3" s="2">
        <f t="shared" si="0"/>
        <v>2.7</v>
      </c>
      <c r="W3" s="2">
        <f t="shared" si="1"/>
        <v>0.9</v>
      </c>
      <c r="X3" s="2">
        <f t="shared" ref="X3:X22" si="2">C3*J3/T3</f>
        <v>4.08</v>
      </c>
      <c r="Y3" t="s">
        <v>28</v>
      </c>
    </row>
    <row r="4" spans="1:25" x14ac:dyDescent="0.25">
      <c r="A4" s="5" t="s">
        <v>29</v>
      </c>
      <c r="B4" s="5">
        <v>6</v>
      </c>
      <c r="C4" s="8">
        <v>3</v>
      </c>
      <c r="D4" s="5">
        <v>74400</v>
      </c>
      <c r="E4" s="8">
        <v>149</v>
      </c>
      <c r="F4" s="5">
        <v>52300</v>
      </c>
      <c r="G4" s="5">
        <v>0.41299999999999998</v>
      </c>
      <c r="H4" s="5">
        <v>1.24</v>
      </c>
      <c r="I4" s="5">
        <v>1.45</v>
      </c>
      <c r="J4" s="8">
        <v>3.92</v>
      </c>
      <c r="K4" s="5">
        <v>65.5</v>
      </c>
      <c r="L4" s="8">
        <v>0.76600000000000001</v>
      </c>
      <c r="M4" s="5">
        <v>5.2900000000000004E-3</v>
      </c>
      <c r="N4" s="5">
        <v>0.37</v>
      </c>
      <c r="O4" s="8">
        <v>25800</v>
      </c>
      <c r="P4" s="5">
        <v>53400</v>
      </c>
      <c r="Q4" s="5">
        <v>3.93</v>
      </c>
      <c r="R4" s="5">
        <v>7.0299999999999998E-3</v>
      </c>
      <c r="S4" s="5" t="s">
        <v>30</v>
      </c>
      <c r="T4" s="5">
        <v>3</v>
      </c>
      <c r="U4" s="3">
        <f t="shared" ref="U4:U22" si="3">C4*J4</f>
        <v>11.76</v>
      </c>
      <c r="V4" s="5">
        <f t="shared" si="0"/>
        <v>3.7199999999999998</v>
      </c>
      <c r="W4" s="5">
        <f t="shared" si="1"/>
        <v>1.24</v>
      </c>
      <c r="X4" s="5">
        <f t="shared" si="2"/>
        <v>3.92</v>
      </c>
      <c r="Y4" s="6" t="s">
        <v>31</v>
      </c>
    </row>
    <row r="5" spans="1:25" x14ac:dyDescent="0.25">
      <c r="A5" s="5" t="s">
        <v>32</v>
      </c>
      <c r="B5" s="5">
        <v>6</v>
      </c>
      <c r="C5" s="8">
        <v>6</v>
      </c>
      <c r="D5" s="5">
        <v>62700</v>
      </c>
      <c r="E5" s="8">
        <v>58.8</v>
      </c>
      <c r="F5" s="5">
        <v>44900</v>
      </c>
      <c r="G5" s="5">
        <v>0.41199999999999998</v>
      </c>
      <c r="H5" s="5">
        <v>0.51700000000000002</v>
      </c>
      <c r="I5" s="5">
        <v>1.52</v>
      </c>
      <c r="J5" s="8">
        <v>1.72</v>
      </c>
      <c r="K5" s="5">
        <v>66.900000000000006</v>
      </c>
      <c r="L5" s="8">
        <v>3.49</v>
      </c>
      <c r="M5" s="5">
        <v>3.0099999999999998E-2</v>
      </c>
      <c r="N5" s="5">
        <v>0.88200000000000001</v>
      </c>
      <c r="O5" s="8">
        <v>10800</v>
      </c>
      <c r="P5" s="5">
        <v>42800</v>
      </c>
      <c r="Q5" s="5">
        <v>3.15</v>
      </c>
      <c r="R5" s="5">
        <v>7.0299999999999998E-3</v>
      </c>
      <c r="S5" s="5" t="s">
        <v>30</v>
      </c>
      <c r="T5" s="5">
        <v>3</v>
      </c>
      <c r="U5" s="3">
        <f t="shared" si="3"/>
        <v>10.32</v>
      </c>
      <c r="V5" s="5">
        <f t="shared" si="0"/>
        <v>3.1020000000000003</v>
      </c>
      <c r="W5" s="5">
        <f t="shared" si="1"/>
        <v>1.034</v>
      </c>
      <c r="X5" s="5">
        <f t="shared" si="2"/>
        <v>3.44</v>
      </c>
      <c r="Y5" s="5" t="s">
        <v>33</v>
      </c>
    </row>
    <row r="6" spans="1:25" x14ac:dyDescent="0.25">
      <c r="A6" s="5" t="s">
        <v>34</v>
      </c>
      <c r="B6" s="5">
        <v>6</v>
      </c>
      <c r="C6" s="8">
        <v>12</v>
      </c>
      <c r="D6" s="5">
        <v>63400</v>
      </c>
      <c r="E6" s="8">
        <v>29.8</v>
      </c>
      <c r="F6" s="5">
        <v>46800</v>
      </c>
      <c r="G6" s="5">
        <v>0.42499999999999999</v>
      </c>
      <c r="H6" s="5">
        <v>0.26800000000000002</v>
      </c>
      <c r="I6" s="5">
        <v>1.7</v>
      </c>
      <c r="J6" s="8">
        <v>0.97</v>
      </c>
      <c r="K6" s="5">
        <v>68.5</v>
      </c>
      <c r="L6" s="8">
        <v>12.4</v>
      </c>
      <c r="M6" s="5">
        <v>0.11799999999999999</v>
      </c>
      <c r="N6" s="5">
        <v>1.75</v>
      </c>
      <c r="O6" s="8">
        <v>5460</v>
      </c>
      <c r="P6" s="5">
        <v>38500</v>
      </c>
      <c r="Q6" s="5">
        <v>2.84</v>
      </c>
      <c r="R6" s="5">
        <v>7.0299999999999998E-3</v>
      </c>
      <c r="S6" s="5" t="s">
        <v>30</v>
      </c>
      <c r="T6" s="5">
        <v>3</v>
      </c>
      <c r="U6" s="3">
        <f t="shared" si="3"/>
        <v>11.64</v>
      </c>
      <c r="V6" s="5">
        <f t="shared" si="0"/>
        <v>3.2160000000000002</v>
      </c>
      <c r="W6" s="5">
        <f t="shared" si="1"/>
        <v>1.0720000000000001</v>
      </c>
      <c r="X6" s="5">
        <f t="shared" si="2"/>
        <v>3.8800000000000003</v>
      </c>
      <c r="Y6" s="5" t="s">
        <v>33</v>
      </c>
    </row>
    <row r="7" spans="1:25" x14ac:dyDescent="0.25">
      <c r="A7" t="s">
        <v>35</v>
      </c>
      <c r="B7">
        <v>6</v>
      </c>
      <c r="C7" s="8">
        <v>6</v>
      </c>
      <c r="D7">
        <v>44200</v>
      </c>
      <c r="E7" s="8">
        <v>46.5</v>
      </c>
      <c r="F7">
        <v>25500</v>
      </c>
      <c r="G7">
        <v>0.33400000000000002</v>
      </c>
      <c r="H7">
        <v>0.314</v>
      </c>
      <c r="I7">
        <v>0.83199999999999996</v>
      </c>
      <c r="J7" s="8">
        <v>0.68799999999999994</v>
      </c>
      <c r="K7">
        <v>55.6</v>
      </c>
      <c r="L7" s="8">
        <v>8.7200000000000006</v>
      </c>
      <c r="M7">
        <v>6.5199999999999994E-2</v>
      </c>
      <c r="N7">
        <v>1.21</v>
      </c>
      <c r="O7" s="8">
        <v>7900</v>
      </c>
      <c r="P7">
        <v>57000</v>
      </c>
      <c r="Q7">
        <v>4.2</v>
      </c>
      <c r="R7">
        <v>7.0299999999999998E-3</v>
      </c>
      <c r="S7" t="s">
        <v>30</v>
      </c>
      <c r="T7">
        <v>3</v>
      </c>
      <c r="U7">
        <f t="shared" si="3"/>
        <v>4.1280000000000001</v>
      </c>
      <c r="V7">
        <f t="shared" si="0"/>
        <v>1.8839999999999999</v>
      </c>
      <c r="W7">
        <f t="shared" si="1"/>
        <v>0.628</v>
      </c>
      <c r="X7">
        <f t="shared" si="2"/>
        <v>1.3760000000000001</v>
      </c>
      <c r="Y7" s="7" t="s">
        <v>36</v>
      </c>
    </row>
    <row r="8" spans="1:25" x14ac:dyDescent="0.25">
      <c r="A8" t="s">
        <v>37</v>
      </c>
      <c r="B8">
        <v>6</v>
      </c>
      <c r="C8" s="8">
        <v>12</v>
      </c>
      <c r="D8">
        <v>33300</v>
      </c>
      <c r="E8" s="8">
        <v>16.2</v>
      </c>
      <c r="F8">
        <v>13900</v>
      </c>
      <c r="G8">
        <v>0.32200000000000001</v>
      </c>
      <c r="H8">
        <v>0.11600000000000001</v>
      </c>
      <c r="I8">
        <v>0.59</v>
      </c>
      <c r="J8" s="8">
        <v>0.188</v>
      </c>
      <c r="K8">
        <v>50.4</v>
      </c>
      <c r="L8" s="8">
        <v>63.8</v>
      </c>
      <c r="M8">
        <v>0.436</v>
      </c>
      <c r="N8">
        <v>3.14</v>
      </c>
      <c r="O8" s="8">
        <v>3040</v>
      </c>
      <c r="P8">
        <v>61800</v>
      </c>
      <c r="Q8">
        <v>4.55</v>
      </c>
      <c r="R8">
        <v>7.0299999999999998E-3</v>
      </c>
      <c r="S8" t="s">
        <v>30</v>
      </c>
      <c r="T8">
        <v>3</v>
      </c>
      <c r="U8">
        <f t="shared" si="3"/>
        <v>2.2560000000000002</v>
      </c>
      <c r="V8">
        <f t="shared" si="0"/>
        <v>1.3920000000000001</v>
      </c>
      <c r="W8">
        <f t="shared" si="1"/>
        <v>0.46400000000000002</v>
      </c>
      <c r="X8">
        <f t="shared" si="2"/>
        <v>0.75200000000000011</v>
      </c>
      <c r="Y8" t="s">
        <v>38</v>
      </c>
    </row>
    <row r="9" spans="1:25" x14ac:dyDescent="0.25">
      <c r="A9" t="s">
        <v>39</v>
      </c>
      <c r="B9">
        <v>8</v>
      </c>
      <c r="C9" s="8">
        <v>6</v>
      </c>
      <c r="D9">
        <v>35500</v>
      </c>
      <c r="E9" s="8">
        <v>128</v>
      </c>
      <c r="F9">
        <v>26700</v>
      </c>
      <c r="G9">
        <v>1.23</v>
      </c>
      <c r="H9">
        <v>0.90200000000000002</v>
      </c>
      <c r="I9">
        <v>5.18</v>
      </c>
      <c r="J9" s="8">
        <v>3.34</v>
      </c>
      <c r="K9">
        <v>66</v>
      </c>
      <c r="L9" s="8">
        <v>1.8</v>
      </c>
      <c r="M9">
        <v>2.5999999999999999E-2</v>
      </c>
      <c r="N9">
        <v>1.55</v>
      </c>
      <c r="O9" s="8">
        <v>6160</v>
      </c>
      <c r="P9">
        <v>7130</v>
      </c>
      <c r="Q9">
        <v>1.86</v>
      </c>
      <c r="R9">
        <v>2.4899999999999999E-2</v>
      </c>
      <c r="S9">
        <v>50000</v>
      </c>
      <c r="T9">
        <v>6</v>
      </c>
      <c r="U9">
        <f t="shared" si="3"/>
        <v>20.04</v>
      </c>
      <c r="V9" s="2">
        <f t="shared" si="0"/>
        <v>5.4119999999999999</v>
      </c>
      <c r="W9" s="2">
        <f t="shared" si="1"/>
        <v>0.90200000000000002</v>
      </c>
      <c r="X9" s="2">
        <f t="shared" si="2"/>
        <v>3.34</v>
      </c>
      <c r="Y9" s="4" t="s">
        <v>40</v>
      </c>
    </row>
    <row r="10" spans="1:25" x14ac:dyDescent="0.25">
      <c r="A10" t="s">
        <v>41</v>
      </c>
      <c r="B10">
        <v>8</v>
      </c>
      <c r="C10" s="8">
        <v>9</v>
      </c>
      <c r="D10">
        <v>29100</v>
      </c>
      <c r="E10" s="8">
        <v>63.4</v>
      </c>
      <c r="F10">
        <v>21200</v>
      </c>
      <c r="G10">
        <v>1.26</v>
      </c>
      <c r="H10">
        <v>0.497</v>
      </c>
      <c r="I10">
        <v>4.83</v>
      </c>
      <c r="J10" s="8">
        <v>1.7</v>
      </c>
      <c r="K10">
        <v>66</v>
      </c>
      <c r="L10" s="8">
        <v>5.3</v>
      </c>
      <c r="M10">
        <v>8.8999999999999996E-2</v>
      </c>
      <c r="N10">
        <v>2.84</v>
      </c>
      <c r="O10" s="8">
        <v>3360</v>
      </c>
      <c r="P10">
        <v>6260</v>
      </c>
      <c r="Q10">
        <v>1.64</v>
      </c>
      <c r="R10">
        <v>2.4899999999999999E-2</v>
      </c>
      <c r="S10">
        <v>50000</v>
      </c>
      <c r="T10">
        <v>6</v>
      </c>
      <c r="U10">
        <f t="shared" si="3"/>
        <v>15.299999999999999</v>
      </c>
      <c r="V10" s="2">
        <f t="shared" si="0"/>
        <v>4.4729999999999999</v>
      </c>
      <c r="W10" s="2">
        <f t="shared" si="1"/>
        <v>0.74549999999999994</v>
      </c>
      <c r="X10" s="2">
        <f t="shared" si="2"/>
        <v>2.5499999999999998</v>
      </c>
      <c r="Y10" t="s">
        <v>42</v>
      </c>
    </row>
    <row r="11" spans="1:25" x14ac:dyDescent="0.25">
      <c r="A11" t="s">
        <v>43</v>
      </c>
      <c r="B11">
        <v>8</v>
      </c>
      <c r="C11" s="8">
        <v>12</v>
      </c>
      <c r="D11">
        <v>30500</v>
      </c>
      <c r="E11" s="8">
        <v>50.9</v>
      </c>
      <c r="F11">
        <v>22800</v>
      </c>
      <c r="G11">
        <v>1.26</v>
      </c>
      <c r="H11">
        <v>0.39100000000000001</v>
      </c>
      <c r="I11">
        <v>5.18</v>
      </c>
      <c r="J11" s="8">
        <v>1.43</v>
      </c>
      <c r="K11">
        <v>67</v>
      </c>
      <c r="L11" s="8">
        <v>8.3800000000000008</v>
      </c>
      <c r="M11">
        <v>0.14399999999999999</v>
      </c>
      <c r="N11">
        <v>3.62</v>
      </c>
      <c r="O11" s="8">
        <v>2640</v>
      </c>
      <c r="P11">
        <v>6110</v>
      </c>
      <c r="Q11">
        <v>1.6</v>
      </c>
      <c r="R11">
        <v>2.4899999999999999E-2</v>
      </c>
      <c r="S11">
        <v>50000</v>
      </c>
      <c r="T11">
        <v>6</v>
      </c>
      <c r="U11">
        <f t="shared" si="3"/>
        <v>17.16</v>
      </c>
      <c r="V11" s="2">
        <f t="shared" si="0"/>
        <v>4.6920000000000002</v>
      </c>
      <c r="W11" s="2">
        <f t="shared" si="1"/>
        <v>0.78200000000000003</v>
      </c>
      <c r="X11" s="2">
        <f t="shared" si="2"/>
        <v>2.86</v>
      </c>
      <c r="Y11" t="s">
        <v>42</v>
      </c>
    </row>
    <row r="12" spans="1:25" x14ac:dyDescent="0.25">
      <c r="A12" t="s">
        <v>44</v>
      </c>
      <c r="B12">
        <v>8</v>
      </c>
      <c r="C12" s="8">
        <v>6</v>
      </c>
      <c r="D12">
        <v>35400</v>
      </c>
      <c r="E12" s="8">
        <v>105</v>
      </c>
      <c r="F12">
        <v>24200</v>
      </c>
      <c r="G12">
        <v>0.91700000000000004</v>
      </c>
      <c r="H12">
        <v>0.68700000000000006</v>
      </c>
      <c r="I12">
        <v>3.04</v>
      </c>
      <c r="J12" s="8">
        <v>1.98</v>
      </c>
      <c r="K12">
        <v>61</v>
      </c>
      <c r="L12" s="8">
        <v>3.02</v>
      </c>
      <c r="M12">
        <v>3.9E-2</v>
      </c>
      <c r="N12">
        <v>1.53</v>
      </c>
      <c r="O12" s="8">
        <v>6230</v>
      </c>
      <c r="P12">
        <v>12300</v>
      </c>
      <c r="Q12">
        <v>3.21</v>
      </c>
      <c r="R12">
        <v>2.4899999999999999E-2</v>
      </c>
      <c r="S12">
        <v>50000</v>
      </c>
      <c r="T12">
        <v>6</v>
      </c>
      <c r="U12">
        <f t="shared" si="3"/>
        <v>11.879999999999999</v>
      </c>
      <c r="V12" s="2">
        <f t="shared" si="0"/>
        <v>4.1219999999999999</v>
      </c>
      <c r="W12" s="2">
        <f t="shared" si="1"/>
        <v>0.68699999999999994</v>
      </c>
      <c r="X12" s="2">
        <f t="shared" si="2"/>
        <v>1.9799999999999998</v>
      </c>
      <c r="Y12" s="4" t="s">
        <v>45</v>
      </c>
    </row>
    <row r="13" spans="1:25" x14ac:dyDescent="0.25">
      <c r="A13" t="s">
        <v>46</v>
      </c>
      <c r="B13">
        <v>8</v>
      </c>
      <c r="C13" s="8">
        <v>12</v>
      </c>
      <c r="D13">
        <v>43300</v>
      </c>
      <c r="E13" s="8">
        <v>69</v>
      </c>
      <c r="F13">
        <v>33100</v>
      </c>
      <c r="G13">
        <v>0.874</v>
      </c>
      <c r="H13">
        <v>0.40600000000000003</v>
      </c>
      <c r="I13">
        <v>3.88</v>
      </c>
      <c r="J13" s="8">
        <v>1.54</v>
      </c>
      <c r="K13">
        <v>63</v>
      </c>
      <c r="L13" s="8">
        <v>7.8</v>
      </c>
      <c r="M13">
        <v>0.106</v>
      </c>
      <c r="N13">
        <v>2.5099999999999998</v>
      </c>
      <c r="O13" s="8">
        <v>3780</v>
      </c>
      <c r="P13">
        <v>11700</v>
      </c>
      <c r="Q13">
        <v>3.06</v>
      </c>
      <c r="R13">
        <v>2.4899999999999999E-2</v>
      </c>
      <c r="S13">
        <v>50000</v>
      </c>
      <c r="T13">
        <v>6</v>
      </c>
      <c r="U13">
        <f t="shared" si="3"/>
        <v>18.48</v>
      </c>
      <c r="V13" s="2">
        <f t="shared" si="0"/>
        <v>4.8719999999999999</v>
      </c>
      <c r="W13" s="2">
        <f t="shared" si="1"/>
        <v>0.81199999999999994</v>
      </c>
      <c r="X13" s="2">
        <f t="shared" si="2"/>
        <v>3.08</v>
      </c>
      <c r="Y13" t="s">
        <v>47</v>
      </c>
    </row>
    <row r="14" spans="1:25" x14ac:dyDescent="0.25">
      <c r="A14" t="s">
        <v>48</v>
      </c>
      <c r="B14">
        <v>8</v>
      </c>
      <c r="C14" s="8">
        <v>24</v>
      </c>
      <c r="D14">
        <v>42200</v>
      </c>
      <c r="E14" s="8">
        <v>33.200000000000003</v>
      </c>
      <c r="F14">
        <v>32300</v>
      </c>
      <c r="G14">
        <v>0.877</v>
      </c>
      <c r="H14">
        <v>0.19800000000000001</v>
      </c>
      <c r="I14">
        <v>3.92</v>
      </c>
      <c r="J14" s="8">
        <v>0.755</v>
      </c>
      <c r="K14">
        <v>64</v>
      </c>
      <c r="L14" s="8">
        <v>31.8</v>
      </c>
      <c r="M14">
        <v>0.44700000000000001</v>
      </c>
      <c r="N14">
        <v>5.19</v>
      </c>
      <c r="O14" s="8">
        <v>1840</v>
      </c>
      <c r="P14">
        <v>11300</v>
      </c>
      <c r="Q14">
        <v>2.95</v>
      </c>
      <c r="R14">
        <v>2.4899999999999999E-2</v>
      </c>
      <c r="S14">
        <v>50000</v>
      </c>
      <c r="T14">
        <v>6</v>
      </c>
      <c r="U14">
        <f t="shared" si="3"/>
        <v>18.12</v>
      </c>
      <c r="V14" s="2">
        <f t="shared" si="0"/>
        <v>4.7520000000000007</v>
      </c>
      <c r="W14" s="2">
        <f t="shared" si="1"/>
        <v>0.79200000000000015</v>
      </c>
      <c r="X14" s="2">
        <f t="shared" si="2"/>
        <v>3.02</v>
      </c>
      <c r="Y14" t="s">
        <v>47</v>
      </c>
    </row>
    <row r="15" spans="1:25" x14ac:dyDescent="0.25">
      <c r="A15" t="s">
        <v>49</v>
      </c>
      <c r="B15">
        <v>6</v>
      </c>
      <c r="C15" s="8">
        <v>6</v>
      </c>
      <c r="D15">
        <v>48600</v>
      </c>
      <c r="E15" s="8">
        <v>56</v>
      </c>
      <c r="F15">
        <v>21820</v>
      </c>
      <c r="G15">
        <v>0.28000000000000003</v>
      </c>
      <c r="H15">
        <v>0.311</v>
      </c>
      <c r="I15">
        <v>0.73199999999999998</v>
      </c>
      <c r="J15" s="8">
        <f>I15*N15</f>
        <v>0.79788000000000003</v>
      </c>
      <c r="K15">
        <v>51</v>
      </c>
      <c r="L15" s="8">
        <v>8.8000000000000007</v>
      </c>
      <c r="M15">
        <v>2.8000000000000001E-2</v>
      </c>
      <c r="N15">
        <v>1.0900000000000001</v>
      </c>
      <c r="O15" s="8">
        <v>8761</v>
      </c>
      <c r="P15">
        <v>70730</v>
      </c>
      <c r="Q15">
        <v>7</v>
      </c>
      <c r="R15">
        <v>9.4999999999999998E-3</v>
      </c>
      <c r="S15">
        <v>100000</v>
      </c>
      <c r="T15">
        <v>2.5</v>
      </c>
      <c r="U15">
        <f t="shared" si="3"/>
        <v>4.78728</v>
      </c>
      <c r="V15" s="2">
        <f t="shared" si="0"/>
        <v>1.8660000000000001</v>
      </c>
      <c r="W15" s="2">
        <f t="shared" si="1"/>
        <v>0.74640000000000006</v>
      </c>
      <c r="X15" s="2">
        <f t="shared" si="2"/>
        <v>1.9149119999999999</v>
      </c>
      <c r="Y15" s="4" t="s">
        <v>50</v>
      </c>
    </row>
    <row r="16" spans="1:25" x14ac:dyDescent="0.25">
      <c r="A16" t="s">
        <v>51</v>
      </c>
      <c r="B16">
        <v>6</v>
      </c>
      <c r="C16" s="8">
        <v>12</v>
      </c>
      <c r="D16">
        <v>37300</v>
      </c>
      <c r="E16" s="8">
        <v>18</v>
      </c>
      <c r="F16">
        <v>7290</v>
      </c>
      <c r="G16">
        <v>0.3</v>
      </c>
      <c r="H16">
        <v>0.122</v>
      </c>
      <c r="I16">
        <v>0.55100000000000005</v>
      </c>
      <c r="J16" s="8">
        <f>I16*N16</f>
        <v>1.55382</v>
      </c>
      <c r="K16">
        <v>50</v>
      </c>
      <c r="L16" s="8">
        <v>60.2</v>
      </c>
      <c r="M16">
        <v>0.192</v>
      </c>
      <c r="N16">
        <v>2.82</v>
      </c>
      <c r="O16" s="8">
        <v>3386</v>
      </c>
      <c r="P16">
        <v>72289</v>
      </c>
      <c r="Q16">
        <v>7.2</v>
      </c>
      <c r="R16">
        <v>9.4999999999999998E-3</v>
      </c>
      <c r="S16">
        <v>100000</v>
      </c>
      <c r="T16">
        <v>2.5</v>
      </c>
      <c r="U16">
        <f t="shared" si="3"/>
        <v>18.64584</v>
      </c>
      <c r="V16" s="2">
        <f t="shared" si="0"/>
        <v>1.464</v>
      </c>
      <c r="W16" s="2">
        <f t="shared" si="1"/>
        <v>0.58560000000000001</v>
      </c>
      <c r="X16" s="2">
        <f t="shared" si="2"/>
        <v>7.4583360000000001</v>
      </c>
      <c r="Y16" t="s">
        <v>50</v>
      </c>
    </row>
    <row r="17" spans="1:25" x14ac:dyDescent="0.25">
      <c r="A17" t="s">
        <v>52</v>
      </c>
      <c r="B17">
        <v>8</v>
      </c>
      <c r="C17" s="8">
        <v>6</v>
      </c>
      <c r="D17">
        <v>35100</v>
      </c>
      <c r="E17" s="8">
        <v>55</v>
      </c>
      <c r="F17">
        <v>22120</v>
      </c>
      <c r="G17">
        <v>0.89</v>
      </c>
      <c r="H17">
        <v>0.66</v>
      </c>
      <c r="I17">
        <v>3.28</v>
      </c>
      <c r="J17" s="8">
        <f t="shared" ref="J17:J18" si="4">I17*N17</f>
        <v>5.2480000000000002</v>
      </c>
      <c r="K17">
        <v>70</v>
      </c>
      <c r="L17" s="8">
        <v>2.91</v>
      </c>
      <c r="M17">
        <v>0.03</v>
      </c>
      <c r="N17">
        <v>1.6</v>
      </c>
      <c r="O17" s="8">
        <v>5968</v>
      </c>
      <c r="P17">
        <v>10855</v>
      </c>
      <c r="Q17">
        <v>2.4</v>
      </c>
      <c r="R17">
        <v>2.8500000000000001E-2</v>
      </c>
      <c r="S17">
        <v>90000</v>
      </c>
      <c r="T17">
        <v>5.2</v>
      </c>
      <c r="U17">
        <f t="shared" si="3"/>
        <v>31.488</v>
      </c>
      <c r="V17" s="2">
        <f t="shared" si="0"/>
        <v>3.96</v>
      </c>
      <c r="W17" s="2">
        <f t="shared" si="1"/>
        <v>0.7615384615384615</v>
      </c>
      <c r="X17" s="2">
        <f t="shared" si="2"/>
        <v>6.0553846153846154</v>
      </c>
    </row>
    <row r="18" spans="1:25" x14ac:dyDescent="0.25">
      <c r="A18" t="s">
        <v>53</v>
      </c>
      <c r="B18">
        <v>8</v>
      </c>
      <c r="C18" s="8">
        <v>12</v>
      </c>
      <c r="D18">
        <v>37500</v>
      </c>
      <c r="E18" s="8">
        <v>31</v>
      </c>
      <c r="F18">
        <v>24560</v>
      </c>
      <c r="G18">
        <v>0.86</v>
      </c>
      <c r="H18">
        <v>0.34100000000000003</v>
      </c>
      <c r="I18">
        <v>3.34</v>
      </c>
      <c r="J18" s="8">
        <f t="shared" si="4"/>
        <v>10.02</v>
      </c>
      <c r="K18">
        <v>70</v>
      </c>
      <c r="L18" s="8">
        <v>10.7</v>
      </c>
      <c r="M18">
        <v>0.107</v>
      </c>
      <c r="N18">
        <v>3</v>
      </c>
      <c r="O18" s="8">
        <v>3183</v>
      </c>
      <c r="P18">
        <v>11353</v>
      </c>
      <c r="Q18">
        <v>2.5</v>
      </c>
      <c r="R18">
        <v>2.8500000000000001E-2</v>
      </c>
      <c r="S18">
        <v>90000</v>
      </c>
      <c r="T18">
        <v>5.2</v>
      </c>
      <c r="U18">
        <f t="shared" si="3"/>
        <v>120.24</v>
      </c>
      <c r="V18" s="2">
        <f t="shared" si="0"/>
        <v>4.0920000000000005</v>
      </c>
      <c r="W18" s="2">
        <f t="shared" si="1"/>
        <v>0.78692307692307695</v>
      </c>
      <c r="X18" s="2">
        <f t="shared" si="2"/>
        <v>23.123076923076923</v>
      </c>
    </row>
    <row r="19" spans="1:25" x14ac:dyDescent="0.25">
      <c r="A19" t="s">
        <v>54</v>
      </c>
      <c r="B19">
        <v>8</v>
      </c>
      <c r="C19" s="8">
        <v>3</v>
      </c>
      <c r="D19">
        <v>16000</v>
      </c>
      <c r="E19" s="8">
        <v>45</v>
      </c>
      <c r="F19">
        <v>7472</v>
      </c>
      <c r="G19">
        <v>0.8</v>
      </c>
      <c r="H19">
        <v>0.52100000000000002</v>
      </c>
      <c r="I19">
        <v>1.5</v>
      </c>
      <c r="J19" s="8">
        <v>0.92500000000000004</v>
      </c>
      <c r="K19">
        <v>60.8</v>
      </c>
      <c r="L19" s="8">
        <v>3.24</v>
      </c>
      <c r="M19">
        <v>4.2000000000000003E-2</v>
      </c>
      <c r="N19">
        <v>1.7</v>
      </c>
      <c r="O19" s="8">
        <v>5606</v>
      </c>
      <c r="P19">
        <v>10659</v>
      </c>
      <c r="Q19">
        <v>2.79</v>
      </c>
      <c r="R19">
        <v>2.5000000000000001E-2</v>
      </c>
      <c r="S19">
        <v>80000</v>
      </c>
      <c r="T19">
        <v>6.5</v>
      </c>
      <c r="U19">
        <f t="shared" si="3"/>
        <v>2.7750000000000004</v>
      </c>
      <c r="V19" s="2">
        <f t="shared" si="0"/>
        <v>1.5630000000000002</v>
      </c>
      <c r="W19" s="2">
        <f t="shared" si="1"/>
        <v>0.24046153846153848</v>
      </c>
      <c r="X19" s="2">
        <f t="shared" si="2"/>
        <v>0.42692307692307696</v>
      </c>
      <c r="Y19" t="s">
        <v>55</v>
      </c>
    </row>
    <row r="20" spans="1:25" x14ac:dyDescent="0.25">
      <c r="A20" t="s">
        <v>56</v>
      </c>
      <c r="B20">
        <v>8</v>
      </c>
      <c r="C20" s="8">
        <v>6</v>
      </c>
      <c r="D20">
        <v>35800</v>
      </c>
      <c r="E20" s="8">
        <v>69</v>
      </c>
      <c r="F20">
        <v>23963</v>
      </c>
      <c r="G20">
        <v>0.97499999999999998</v>
      </c>
      <c r="H20">
        <v>0.70199999999999996</v>
      </c>
      <c r="I20">
        <v>2.96</v>
      </c>
      <c r="J20" s="8">
        <v>1.99</v>
      </c>
      <c r="K20">
        <v>66.099999999999994</v>
      </c>
      <c r="L20" s="8">
        <v>3.02</v>
      </c>
      <c r="M20">
        <v>0.04</v>
      </c>
      <c r="N20">
        <v>1.54</v>
      </c>
      <c r="O20" s="8">
        <v>6182</v>
      </c>
      <c r="P20">
        <v>12116</v>
      </c>
      <c r="Q20">
        <v>3.17</v>
      </c>
      <c r="R20">
        <v>2.5000000000000001E-2</v>
      </c>
      <c r="S20">
        <v>80000</v>
      </c>
      <c r="T20">
        <v>6.5</v>
      </c>
      <c r="U20">
        <f t="shared" si="3"/>
        <v>11.94</v>
      </c>
      <c r="V20" s="2">
        <f t="shared" si="0"/>
        <v>4.2119999999999997</v>
      </c>
      <c r="W20" s="2">
        <f t="shared" si="1"/>
        <v>0.64799999999999991</v>
      </c>
      <c r="X20" s="2">
        <f t="shared" si="2"/>
        <v>1.8369230769230769</v>
      </c>
      <c r="Y20" t="s">
        <v>55</v>
      </c>
    </row>
    <row r="21" spans="1:25" x14ac:dyDescent="0.25">
      <c r="A21" t="s">
        <v>57</v>
      </c>
      <c r="B21">
        <v>8</v>
      </c>
      <c r="C21" s="8">
        <v>12</v>
      </c>
      <c r="D21">
        <v>42000</v>
      </c>
      <c r="E21" s="8">
        <v>75</v>
      </c>
      <c r="F21">
        <v>34683</v>
      </c>
      <c r="G21">
        <v>0.73</v>
      </c>
      <c r="H21">
        <v>0.35499999999999998</v>
      </c>
      <c r="I21">
        <v>4.2</v>
      </c>
      <c r="J21" s="8">
        <v>1.6850000000000001</v>
      </c>
      <c r="K21">
        <v>62.3</v>
      </c>
      <c r="L21" s="8">
        <v>7.12</v>
      </c>
      <c r="M21">
        <v>0.95699999999999996</v>
      </c>
      <c r="N21">
        <v>2.61</v>
      </c>
      <c r="O21" s="8">
        <v>3663</v>
      </c>
      <c r="P21">
        <v>9993</v>
      </c>
      <c r="Q21">
        <v>2.62</v>
      </c>
      <c r="R21">
        <v>2.5000000000000001E-2</v>
      </c>
      <c r="S21">
        <v>80000</v>
      </c>
      <c r="T21">
        <v>6.5</v>
      </c>
      <c r="U21">
        <f t="shared" si="3"/>
        <v>20.22</v>
      </c>
      <c r="V21" s="2">
        <f t="shared" si="0"/>
        <v>4.26</v>
      </c>
      <c r="W21" s="2">
        <f t="shared" si="1"/>
        <v>0.65538461538461534</v>
      </c>
      <c r="X21" s="2">
        <f t="shared" si="2"/>
        <v>3.1107692307692307</v>
      </c>
      <c r="Y21" t="s">
        <v>55</v>
      </c>
    </row>
    <row r="22" spans="1:25" x14ac:dyDescent="0.25">
      <c r="A22" t="s">
        <v>58</v>
      </c>
      <c r="B22">
        <v>8</v>
      </c>
      <c r="C22" s="8">
        <v>24</v>
      </c>
      <c r="D22">
        <v>42650</v>
      </c>
      <c r="E22" s="8">
        <v>22</v>
      </c>
      <c r="F22">
        <v>32200</v>
      </c>
      <c r="G22">
        <v>0.94199999999999995</v>
      </c>
      <c r="H22">
        <v>0.20300000000000001</v>
      </c>
      <c r="I22">
        <v>3.85</v>
      </c>
      <c r="J22" s="8">
        <v>0.75900000000000001</v>
      </c>
      <c r="K22">
        <v>68.8</v>
      </c>
      <c r="L22" s="8">
        <v>31.6</v>
      </c>
      <c r="M22">
        <v>0.44600000000000001</v>
      </c>
      <c r="N22">
        <v>5.22</v>
      </c>
      <c r="O22" s="8">
        <v>1830</v>
      </c>
      <c r="P22">
        <v>11093</v>
      </c>
      <c r="Q22">
        <v>2.9</v>
      </c>
      <c r="R22">
        <v>2.5000000000000001E-2</v>
      </c>
      <c r="S22">
        <v>80000</v>
      </c>
      <c r="T22">
        <v>6.5</v>
      </c>
      <c r="U22">
        <f t="shared" si="3"/>
        <v>18.216000000000001</v>
      </c>
      <c r="V22" s="2">
        <f t="shared" si="0"/>
        <v>4.8719999999999999</v>
      </c>
      <c r="W22" s="2">
        <f t="shared" si="1"/>
        <v>0.74953846153846149</v>
      </c>
      <c r="X22" s="2">
        <f t="shared" si="2"/>
        <v>2.8024615384615386</v>
      </c>
      <c r="Y22" t="s">
        <v>55</v>
      </c>
    </row>
  </sheetData>
  <phoneticPr fontId="2" type="noConversion"/>
  <hyperlinks>
    <hyperlink ref="Y2" r:id="rId1" xr:uid="{8819412D-052E-4324-A051-BA34EA244A7E}"/>
    <hyperlink ref="Y4" r:id="rId2" xr:uid="{DE705F04-19ED-42B2-8BDE-52FD045ECA2A}"/>
    <hyperlink ref="Y7" r:id="rId3" xr:uid="{BD8303F1-1839-4162-B7E7-68EBA36F32BC}"/>
    <hyperlink ref="Y9" r:id="rId4" xr:uid="{199660C6-B975-4DA2-8292-F335AD0D5D10}"/>
    <hyperlink ref="Y12" r:id="rId5" xr:uid="{76B85B75-CBF1-4886-ACBF-FAD878026E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明昊 张</dc:creator>
  <cp:lastModifiedBy>明昊 张</cp:lastModifiedBy>
  <dcterms:created xsi:type="dcterms:W3CDTF">2024-05-07T09:07:17Z</dcterms:created>
  <dcterms:modified xsi:type="dcterms:W3CDTF">2024-05-08T14:18:17Z</dcterms:modified>
</cp:coreProperties>
</file>