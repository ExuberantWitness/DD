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165226D-34A5-47F1-80DA-37C22DED4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2" i="1" l="1"/>
  <c r="X22" i="1"/>
  <c r="W22" i="1"/>
  <c r="V22" i="1"/>
  <c r="U22" i="1"/>
  <c r="J22" i="1"/>
  <c r="Y21" i="1"/>
  <c r="W21" i="1"/>
  <c r="V21" i="1"/>
  <c r="J21" i="1"/>
  <c r="X21" i="1" s="1"/>
  <c r="Y20" i="1"/>
  <c r="X20" i="1"/>
  <c r="V20" i="1"/>
  <c r="W20" i="1" s="1"/>
  <c r="J20" i="1"/>
  <c r="U20" i="1" s="1"/>
  <c r="Y19" i="1"/>
  <c r="X19" i="1"/>
  <c r="W19" i="1"/>
  <c r="V19" i="1"/>
  <c r="U19" i="1"/>
  <c r="J19" i="1"/>
  <c r="Y18" i="1"/>
  <c r="V18" i="1"/>
  <c r="W18" i="1" s="1"/>
  <c r="J18" i="1"/>
  <c r="X18" i="1" s="1"/>
  <c r="Y17" i="1"/>
  <c r="X17" i="1"/>
  <c r="V17" i="1"/>
  <c r="W17" i="1" s="1"/>
  <c r="U17" i="1"/>
  <c r="J17" i="1"/>
  <c r="Y16" i="1"/>
  <c r="W16" i="1"/>
  <c r="V16" i="1"/>
  <c r="J16" i="1"/>
  <c r="X16" i="1" s="1"/>
  <c r="Y15" i="1"/>
  <c r="V15" i="1"/>
  <c r="W15" i="1" s="1"/>
  <c r="J15" i="1"/>
  <c r="U15" i="1" s="1"/>
  <c r="Y14" i="1"/>
  <c r="X14" i="1"/>
  <c r="W14" i="1"/>
  <c r="V14" i="1"/>
  <c r="U14" i="1"/>
  <c r="J14" i="1"/>
  <c r="Y13" i="1"/>
  <c r="V13" i="1"/>
  <c r="W13" i="1" s="1"/>
  <c r="J13" i="1"/>
  <c r="X13" i="1" s="1"/>
  <c r="Y12" i="1"/>
  <c r="V12" i="1"/>
  <c r="W12" i="1" s="1"/>
  <c r="J12" i="1"/>
  <c r="U12" i="1" s="1"/>
  <c r="Y11" i="1"/>
  <c r="X11" i="1"/>
  <c r="W11" i="1"/>
  <c r="V11" i="1"/>
  <c r="U11" i="1"/>
  <c r="J11" i="1"/>
  <c r="Y10" i="1"/>
  <c r="V10" i="1"/>
  <c r="W10" i="1" s="1"/>
  <c r="J10" i="1"/>
  <c r="X10" i="1" s="1"/>
  <c r="Y9" i="1"/>
  <c r="X9" i="1"/>
  <c r="V9" i="1"/>
  <c r="W9" i="1" s="1"/>
  <c r="U9" i="1"/>
  <c r="J9" i="1"/>
  <c r="Y8" i="1"/>
  <c r="W8" i="1"/>
  <c r="V8" i="1"/>
  <c r="J8" i="1"/>
  <c r="X8" i="1" s="1"/>
  <c r="Y7" i="1"/>
  <c r="V7" i="1"/>
  <c r="W7" i="1" s="1"/>
  <c r="J7" i="1"/>
  <c r="X7" i="1" s="1"/>
  <c r="Y6" i="1"/>
  <c r="X6" i="1"/>
  <c r="W6" i="1"/>
  <c r="V6" i="1"/>
  <c r="U6" i="1"/>
  <c r="J6" i="1"/>
  <c r="Y5" i="1"/>
  <c r="V5" i="1"/>
  <c r="W5" i="1" s="1"/>
  <c r="J5" i="1"/>
  <c r="X5" i="1" s="1"/>
  <c r="Y4" i="1"/>
  <c r="V4" i="1"/>
  <c r="W4" i="1" s="1"/>
  <c r="J4" i="1"/>
  <c r="X4" i="1" s="1"/>
  <c r="Y3" i="1"/>
  <c r="X3" i="1"/>
  <c r="W3" i="1"/>
  <c r="V3" i="1"/>
  <c r="U3" i="1"/>
  <c r="J3" i="1"/>
  <c r="Y2" i="1"/>
  <c r="V2" i="1"/>
  <c r="W2" i="1" s="1"/>
  <c r="J2" i="1"/>
  <c r="X2" i="1" s="1"/>
  <c r="U4" i="1" l="1"/>
  <c r="U7" i="1"/>
  <c r="U2" i="1"/>
  <c r="U10" i="1"/>
  <c r="X15" i="1"/>
  <c r="U18" i="1"/>
  <c r="U5" i="1"/>
  <c r="U13" i="1"/>
  <c r="U21" i="1"/>
  <c r="X12" i="1"/>
  <c r="U8" i="1"/>
  <c r="U16" i="1"/>
</calcChain>
</file>

<file path=xl/sharedStrings.xml><?xml version="1.0" encoding="utf-8"?>
<sst xmlns="http://schemas.openxmlformats.org/spreadsheetml/2006/main" count="70" uniqueCount="57">
  <si>
    <t>型号</t>
  </si>
  <si>
    <t>直径</t>
  </si>
  <si>
    <t>额定电压</t>
  </si>
  <si>
    <t>空载转速</t>
  </si>
  <si>
    <t>空载电流</t>
  </si>
  <si>
    <t>额定转速</t>
  </si>
  <si>
    <t>额定转矩</t>
  </si>
  <si>
    <t>额定电流</t>
  </si>
  <si>
    <t>堵转转矩</t>
  </si>
  <si>
    <t>堵转电流</t>
  </si>
  <si>
    <t>最大效率</t>
  </si>
  <si>
    <t>相间电阻</t>
  </si>
  <si>
    <t>相间电感</t>
  </si>
  <si>
    <t>转矩常数</t>
  </si>
  <si>
    <t>转速常数</t>
  </si>
  <si>
    <t>转速 / 转矩梯度</t>
  </si>
  <si>
    <t>机械时间常数</t>
  </si>
  <si>
    <t>转子转动惯量</t>
  </si>
  <si>
    <t>最大转速</t>
  </si>
  <si>
    <t>电机质量</t>
  </si>
  <si>
    <t>最大功率</t>
  </si>
  <si>
    <t>额定功率</t>
  </si>
  <si>
    <t>功重比</t>
  </si>
  <si>
    <t>堵转功重比</t>
  </si>
  <si>
    <t>理论最大电压</t>
  </si>
  <si>
    <t>热阻</t>
  </si>
  <si>
    <t>高度</t>
  </si>
  <si>
    <t>网址</t>
  </si>
  <si>
    <t>Datasheet-ECX-Prime-2023-235-EN-6V</t>
  </si>
  <si>
    <t>https://www.maxongroup.com.cn/medias/sys_master/root/9117743775774/Datasheet-ECX-Prime-2023-235-EN.pdf</t>
  </si>
  <si>
    <t>Datasheet-ECX-Prime-2023-235-EN-12V</t>
  </si>
  <si>
    <t>CN-174-3V</t>
  </si>
  <si>
    <t>https://www.maxongroup.com.cn/medias/sys_master/root/8841745399838/CN-174.pdf</t>
  </si>
  <si>
    <t>CN-174-6V</t>
  </si>
  <si>
    <t>CN-174-12V</t>
  </si>
  <si>
    <t>CN-173-6V</t>
  </si>
  <si>
    <t>https://www.maxongroup.com.cn/medias/sys_master/root/8841745301534/CN-173.pdf</t>
  </si>
  <si>
    <t>CN-173-12V</t>
  </si>
  <si>
    <t>CN-176-6V</t>
  </si>
  <si>
    <t>https://www.maxongroup.com.cn/medias/sys_master/root/8841745694750/CN-176.pdf</t>
  </si>
  <si>
    <t>CN-176-9V</t>
  </si>
  <si>
    <t>CN-176-12V</t>
  </si>
  <si>
    <t>CN-175-6</t>
  </si>
  <si>
    <t>https://www.maxongroup.com.cn/medias/sys_master/root/8841745498142/CN-175.pdf</t>
  </si>
  <si>
    <t>CN-175-12</t>
  </si>
  <si>
    <t>CN-175-24</t>
  </si>
  <si>
    <t>CN_0620_B_FMM-6V</t>
  </si>
  <si>
    <t>https://faulhaber.com.cn/fileadmin/Import/Media/CN_0620_B_FMM.pdf</t>
  </si>
  <si>
    <t>CN_0620_B_FMM-12V</t>
  </si>
  <si>
    <t>CN_0824_B_FMM-6V</t>
  </si>
  <si>
    <t>https://faulhaber.com.cn/fileadmin/Import/Media/CN_0824_B_FMM.pdf</t>
  </si>
  <si>
    <t>CN_0824_B_FMM-12V</t>
  </si>
  <si>
    <t>otecs0921w-3</t>
  </si>
  <si>
    <t>http://www.wanzhida.cn/Products/otecs0921w.html</t>
  </si>
  <si>
    <t>otecs0921w-6</t>
  </si>
  <si>
    <t>otecs0921w-12</t>
  </si>
  <si>
    <t>otecs0921w-24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</si>
</sst>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1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ulhaber.com.cn/fileadmin/Import/Media/CN_0824_B_FMM.pdf" TargetMode="External"/><Relationship Id="rId3" Type="http://schemas.openxmlformats.org/officeDocument/2006/relationships/hyperlink" Target="https://www.maxongroup.com.cn/medias/sys_master/root/8841745301534/CN-173.pdf" TargetMode="External"/><Relationship Id="rId7" Type="http://schemas.openxmlformats.org/officeDocument/2006/relationships/hyperlink" Target="http://www.wanzhida.cn/Products/otecs0921w.html" TargetMode="External"/><Relationship Id="rId2" Type="http://schemas.openxmlformats.org/officeDocument/2006/relationships/hyperlink" Target="https://www.maxongroup.com.cn/medias/sys_master/root/8841745399838/CN-174.pdf" TargetMode="External"/><Relationship Id="rId1" Type="http://schemas.openxmlformats.org/officeDocument/2006/relationships/hyperlink" Target="https://www.maxongroup.com.cn/medias/sys_master/root/9117743775774/Datasheet-ECX-Prime-2023-235-EN.pdf" TargetMode="External"/><Relationship Id="rId6" Type="http://schemas.openxmlformats.org/officeDocument/2006/relationships/hyperlink" Target="https://faulhaber.com.cn/fileadmin/Import/Media/CN_0620_B_FMM.pdf" TargetMode="External"/><Relationship Id="rId5" Type="http://schemas.openxmlformats.org/officeDocument/2006/relationships/hyperlink" Target="https://www.maxongroup.com.cn/medias/sys_master/root/8841745498142/CN-175.pdf" TargetMode="External"/><Relationship Id="rId4" Type="http://schemas.openxmlformats.org/officeDocument/2006/relationships/hyperlink" Target="https://www.maxongroup.com.cn/medias/sys_master/root/8841745694750/CN-17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topLeftCell="R1" zoomScale="115" zoomScaleNormal="115" workbookViewId="0">
      <selection activeCell="AA13" sqref="AA13"/>
    </sheetView>
  </sheetViews>
  <sheetFormatPr defaultColWidth="9" defaultRowHeight="13.8" x14ac:dyDescent="0.25"/>
  <cols>
    <col min="1" max="1" width="37.5546875" customWidth="1"/>
    <col min="4" max="4" width="12.109375" customWidth="1"/>
    <col min="5" max="5" width="9.44140625" customWidth="1"/>
    <col min="6" max="7" width="12.77734375" customWidth="1"/>
    <col min="10" max="10" width="9.88671875" customWidth="1"/>
    <col min="12" max="12" width="9.77734375" customWidth="1"/>
    <col min="13" max="13" width="8.88671875"/>
    <col min="15" max="15" width="9.77734375" customWidth="1"/>
    <col min="16" max="16" width="15.6640625" customWidth="1"/>
    <col min="17" max="17" width="14" customWidth="1"/>
    <col min="18" max="18" width="13" customWidth="1"/>
    <col min="19" max="19" width="15.21875" customWidth="1"/>
    <col min="21" max="21" width="14.88671875" customWidth="1"/>
    <col min="24" max="24" width="10.44140625" customWidth="1"/>
    <col min="25" max="25" width="19.44140625" customWidth="1"/>
    <col min="26" max="27" width="11" customWidth="1"/>
  </cols>
  <sheetData>
    <row r="1" spans="1:2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6</v>
      </c>
      <c r="C2" s="2">
        <v>6</v>
      </c>
      <c r="D2">
        <v>36200</v>
      </c>
      <c r="E2">
        <v>83.8</v>
      </c>
      <c r="F2">
        <v>29300</v>
      </c>
      <c r="G2">
        <v>0.56799999999999995</v>
      </c>
      <c r="H2">
        <v>0.45</v>
      </c>
      <c r="I2">
        <v>3.09</v>
      </c>
      <c r="J2" s="2">
        <f>I2/N2</f>
        <v>2.0463576158940397</v>
      </c>
      <c r="K2">
        <v>64.8</v>
      </c>
      <c r="L2" s="2">
        <v>2.94</v>
      </c>
      <c r="M2" s="4">
        <v>1.8700000000000001E-2</v>
      </c>
      <c r="N2" s="2">
        <v>1.51</v>
      </c>
      <c r="O2" s="2">
        <v>6310</v>
      </c>
      <c r="P2">
        <v>12200</v>
      </c>
      <c r="Q2">
        <v>1.52</v>
      </c>
      <c r="R2" s="3">
        <v>1.1900000000000001E-2</v>
      </c>
      <c r="S2" s="1">
        <v>50000</v>
      </c>
      <c r="T2">
        <v>3</v>
      </c>
      <c r="U2">
        <f>C2*J2</f>
        <v>12.278145695364238</v>
      </c>
      <c r="V2">
        <f t="shared" ref="V2:V22" si="0">H2*C2</f>
        <v>2.7</v>
      </c>
      <c r="W2">
        <f t="shared" ref="W2:W22" si="1">V2/T2</f>
        <v>0.9</v>
      </c>
      <c r="X2">
        <f>C2*J2/T2</f>
        <v>4.0927152317880795</v>
      </c>
      <c r="Y2">
        <f>S2/O2</f>
        <v>7.9239302694136295</v>
      </c>
      <c r="Z2">
        <v>2.98</v>
      </c>
      <c r="AA2">
        <v>16.9870129870129</v>
      </c>
      <c r="AB2" s="5" t="s">
        <v>29</v>
      </c>
    </row>
    <row r="3" spans="1:28" x14ac:dyDescent="0.25">
      <c r="A3" t="s">
        <v>30</v>
      </c>
      <c r="B3">
        <v>6</v>
      </c>
      <c r="C3" s="2">
        <v>12</v>
      </c>
      <c r="D3">
        <v>36200</v>
      </c>
      <c r="E3">
        <v>41.9</v>
      </c>
      <c r="F3">
        <v>29300</v>
      </c>
      <c r="G3">
        <v>0.56799999999999995</v>
      </c>
      <c r="H3">
        <v>0.22500000000000001</v>
      </c>
      <c r="I3">
        <v>3.09</v>
      </c>
      <c r="J3" s="2">
        <f t="shared" ref="J3:J22" si="2">I3/N3</f>
        <v>1.0198019801980198</v>
      </c>
      <c r="K3">
        <v>64.8</v>
      </c>
      <c r="L3" s="2">
        <v>11.7</v>
      </c>
      <c r="M3" s="4">
        <v>7.46E-2</v>
      </c>
      <c r="N3" s="2">
        <v>3.03</v>
      </c>
      <c r="O3" s="2">
        <v>3150</v>
      </c>
      <c r="P3">
        <v>12200</v>
      </c>
      <c r="Q3">
        <v>1.52</v>
      </c>
      <c r="R3" s="3">
        <v>1.1900000000000001E-2</v>
      </c>
      <c r="S3" s="1">
        <v>50000</v>
      </c>
      <c r="T3">
        <v>3</v>
      </c>
      <c r="U3">
        <f>C3*J3</f>
        <v>12.237623762376238</v>
      </c>
      <c r="V3">
        <f t="shared" si="0"/>
        <v>2.7</v>
      </c>
      <c r="W3">
        <f t="shared" si="1"/>
        <v>0.9</v>
      </c>
      <c r="X3">
        <f t="shared" ref="X3:X22" si="3">C3*J3/T3</f>
        <v>4.0792079207920793</v>
      </c>
      <c r="Y3">
        <f t="shared" ref="Y3:Y22" si="4">S3/O3</f>
        <v>15.873015873015873</v>
      </c>
      <c r="Z3">
        <v>2.98</v>
      </c>
      <c r="AA3">
        <v>16.9870129870129</v>
      </c>
      <c r="AB3" t="s">
        <v>29</v>
      </c>
    </row>
    <row r="4" spans="1:28" x14ac:dyDescent="0.25">
      <c r="A4" t="s">
        <v>31</v>
      </c>
      <c r="B4">
        <v>6</v>
      </c>
      <c r="C4" s="2">
        <v>3</v>
      </c>
      <c r="D4">
        <v>74400</v>
      </c>
      <c r="E4">
        <v>149</v>
      </c>
      <c r="F4">
        <v>52300</v>
      </c>
      <c r="G4">
        <v>0.41299999999999998</v>
      </c>
      <c r="H4">
        <v>1.24</v>
      </c>
      <c r="I4">
        <v>1.45</v>
      </c>
      <c r="J4" s="2">
        <f t="shared" si="2"/>
        <v>3.9189189189189189</v>
      </c>
      <c r="K4">
        <v>65.5</v>
      </c>
      <c r="L4" s="2">
        <v>0.76600000000000001</v>
      </c>
      <c r="M4" s="4">
        <v>5.2900000000000004E-3</v>
      </c>
      <c r="N4" s="3">
        <v>0.37</v>
      </c>
      <c r="O4" s="3">
        <v>25800</v>
      </c>
      <c r="P4">
        <v>53400</v>
      </c>
      <c r="Q4">
        <v>3.93</v>
      </c>
      <c r="R4" s="3">
        <v>7.0299999999999998E-3</v>
      </c>
      <c r="S4" s="1">
        <v>100000</v>
      </c>
      <c r="T4">
        <v>3</v>
      </c>
      <c r="U4">
        <f t="shared" ref="U4:U22" si="5">C4*J4</f>
        <v>11.756756756756756</v>
      </c>
      <c r="V4">
        <f t="shared" si="0"/>
        <v>3.7199999999999998</v>
      </c>
      <c r="W4">
        <f t="shared" si="1"/>
        <v>1.24</v>
      </c>
      <c r="X4">
        <f t="shared" si="3"/>
        <v>3.9189189189189189</v>
      </c>
      <c r="Y4">
        <f t="shared" si="4"/>
        <v>3.8759689922480618</v>
      </c>
      <c r="Z4">
        <v>13.2</v>
      </c>
      <c r="AA4">
        <v>16.067114093959699</v>
      </c>
      <c r="AB4" s="5" t="s">
        <v>32</v>
      </c>
    </row>
    <row r="5" spans="1:28" x14ac:dyDescent="0.25">
      <c r="A5" t="s">
        <v>33</v>
      </c>
      <c r="B5">
        <v>6</v>
      </c>
      <c r="C5" s="2">
        <v>6</v>
      </c>
      <c r="D5">
        <v>62700</v>
      </c>
      <c r="E5">
        <v>58.8</v>
      </c>
      <c r="F5">
        <v>44900</v>
      </c>
      <c r="G5">
        <v>0.41199999999999998</v>
      </c>
      <c r="H5">
        <v>0.51700000000000002</v>
      </c>
      <c r="I5">
        <v>1.52</v>
      </c>
      <c r="J5" s="2">
        <f t="shared" si="2"/>
        <v>1.7233560090702948</v>
      </c>
      <c r="K5">
        <v>66.900000000000006</v>
      </c>
      <c r="L5" s="2">
        <v>3.49</v>
      </c>
      <c r="M5" s="4">
        <v>3.0099999999999998E-2</v>
      </c>
      <c r="N5" s="3">
        <v>0.88200000000000001</v>
      </c>
      <c r="O5" s="3">
        <v>10800</v>
      </c>
      <c r="P5">
        <v>42800</v>
      </c>
      <c r="Q5">
        <v>3.15</v>
      </c>
      <c r="R5" s="3">
        <v>7.0299999999999998E-3</v>
      </c>
      <c r="S5" s="1">
        <v>100000</v>
      </c>
      <c r="T5">
        <v>3</v>
      </c>
      <c r="U5">
        <f t="shared" si="5"/>
        <v>10.34013605442177</v>
      </c>
      <c r="V5">
        <f t="shared" si="0"/>
        <v>3.1020000000000003</v>
      </c>
      <c r="W5">
        <f t="shared" si="1"/>
        <v>1.034</v>
      </c>
      <c r="X5">
        <f t="shared" si="3"/>
        <v>3.4467120181405897</v>
      </c>
      <c r="Y5">
        <f t="shared" si="4"/>
        <v>9.2592592592592595</v>
      </c>
      <c r="Z5">
        <v>13.2</v>
      </c>
      <c r="AA5">
        <v>16.067114093959699</v>
      </c>
      <c r="AB5" t="s">
        <v>32</v>
      </c>
    </row>
    <row r="6" spans="1:28" x14ac:dyDescent="0.25">
      <c r="A6" t="s">
        <v>34</v>
      </c>
      <c r="B6">
        <v>6</v>
      </c>
      <c r="C6" s="2">
        <v>12</v>
      </c>
      <c r="D6">
        <v>63400</v>
      </c>
      <c r="E6">
        <v>29.8</v>
      </c>
      <c r="F6">
        <v>46800</v>
      </c>
      <c r="G6">
        <v>0.42499999999999999</v>
      </c>
      <c r="H6">
        <v>0.26800000000000002</v>
      </c>
      <c r="I6">
        <v>1.7</v>
      </c>
      <c r="J6" s="2">
        <f t="shared" si="2"/>
        <v>0.97142857142857142</v>
      </c>
      <c r="K6">
        <v>68.5</v>
      </c>
      <c r="L6" s="2">
        <v>12.4</v>
      </c>
      <c r="M6" s="4">
        <v>0.11799999999999999</v>
      </c>
      <c r="N6" s="3">
        <v>1.75</v>
      </c>
      <c r="O6" s="3">
        <v>5460</v>
      </c>
      <c r="P6">
        <v>38500</v>
      </c>
      <c r="Q6">
        <v>2.84</v>
      </c>
      <c r="R6" s="3">
        <v>7.0299999999999998E-3</v>
      </c>
      <c r="S6" s="1">
        <v>100000</v>
      </c>
      <c r="T6">
        <v>3</v>
      </c>
      <c r="U6">
        <f t="shared" si="5"/>
        <v>11.657142857142857</v>
      </c>
      <c r="V6">
        <f t="shared" si="0"/>
        <v>3.2160000000000002</v>
      </c>
      <c r="W6">
        <f t="shared" si="1"/>
        <v>1.0720000000000001</v>
      </c>
      <c r="X6">
        <f t="shared" si="3"/>
        <v>3.8857142857142857</v>
      </c>
      <c r="Y6">
        <f t="shared" si="4"/>
        <v>18.315018315018314</v>
      </c>
      <c r="Z6">
        <v>13.2</v>
      </c>
      <c r="AA6">
        <v>16.067114093959699</v>
      </c>
      <c r="AB6" t="s">
        <v>32</v>
      </c>
    </row>
    <row r="7" spans="1:28" x14ac:dyDescent="0.25">
      <c r="A7" t="s">
        <v>35</v>
      </c>
      <c r="B7">
        <v>6</v>
      </c>
      <c r="C7" s="3">
        <v>6</v>
      </c>
      <c r="D7">
        <v>44200</v>
      </c>
      <c r="E7">
        <v>46.5</v>
      </c>
      <c r="F7">
        <v>25500</v>
      </c>
      <c r="G7">
        <v>0.33400000000000002</v>
      </c>
      <c r="H7">
        <v>0.314</v>
      </c>
      <c r="I7">
        <v>0.83199999999999996</v>
      </c>
      <c r="J7" s="3">
        <f t="shared" si="2"/>
        <v>0.68760330578512396</v>
      </c>
      <c r="K7">
        <v>55.6</v>
      </c>
      <c r="L7" s="3">
        <v>8.7200000000000006</v>
      </c>
      <c r="M7" s="4">
        <v>6.5199999999999994E-2</v>
      </c>
      <c r="N7" s="3">
        <v>1.21</v>
      </c>
      <c r="O7" s="3">
        <v>7900</v>
      </c>
      <c r="P7">
        <v>57000</v>
      </c>
      <c r="Q7">
        <v>4.2</v>
      </c>
      <c r="R7" s="3">
        <v>7.0299999999999998E-3</v>
      </c>
      <c r="S7" s="1">
        <v>100000</v>
      </c>
      <c r="T7">
        <v>3</v>
      </c>
      <c r="U7">
        <f t="shared" si="5"/>
        <v>4.1256198347107436</v>
      </c>
      <c r="V7">
        <f t="shared" si="0"/>
        <v>1.8839999999999999</v>
      </c>
      <c r="W7">
        <f t="shared" si="1"/>
        <v>0.628</v>
      </c>
      <c r="X7">
        <f t="shared" si="3"/>
        <v>1.3752066115702479</v>
      </c>
      <c r="Y7">
        <f t="shared" si="4"/>
        <v>12.658227848101266</v>
      </c>
      <c r="Z7">
        <v>16.8</v>
      </c>
      <c r="AA7">
        <v>16.067114093959699</v>
      </c>
      <c r="AB7" s="5" t="s">
        <v>36</v>
      </c>
    </row>
    <row r="8" spans="1:28" x14ac:dyDescent="0.25">
      <c r="A8" t="s">
        <v>37</v>
      </c>
      <c r="B8">
        <v>6</v>
      </c>
      <c r="C8" s="3">
        <v>12</v>
      </c>
      <c r="D8">
        <v>33300</v>
      </c>
      <c r="E8">
        <v>16.2</v>
      </c>
      <c r="F8">
        <v>13900</v>
      </c>
      <c r="G8">
        <v>0.32200000000000001</v>
      </c>
      <c r="H8">
        <v>0.11600000000000001</v>
      </c>
      <c r="I8">
        <v>0.59</v>
      </c>
      <c r="J8" s="3">
        <f t="shared" si="2"/>
        <v>0.18789808917197451</v>
      </c>
      <c r="K8">
        <v>50.4</v>
      </c>
      <c r="L8" s="3">
        <v>63.8</v>
      </c>
      <c r="M8" s="4">
        <v>0.436</v>
      </c>
      <c r="N8" s="3">
        <v>3.14</v>
      </c>
      <c r="O8" s="3">
        <v>3040</v>
      </c>
      <c r="P8">
        <v>61800</v>
      </c>
      <c r="Q8">
        <v>4.55</v>
      </c>
      <c r="R8" s="3">
        <v>7.0299999999999998E-3</v>
      </c>
      <c r="S8" s="1">
        <v>100000</v>
      </c>
      <c r="T8">
        <v>3</v>
      </c>
      <c r="U8">
        <f t="shared" si="5"/>
        <v>2.2547770700636942</v>
      </c>
      <c r="V8">
        <f t="shared" si="0"/>
        <v>1.3920000000000001</v>
      </c>
      <c r="W8">
        <f t="shared" si="1"/>
        <v>0.46400000000000002</v>
      </c>
      <c r="X8">
        <f t="shared" si="3"/>
        <v>0.75159235668789803</v>
      </c>
      <c r="Y8">
        <f t="shared" si="4"/>
        <v>32.89473684210526</v>
      </c>
      <c r="Z8">
        <v>16.8</v>
      </c>
      <c r="AA8">
        <v>16.067114093959699</v>
      </c>
      <c r="AB8" t="s">
        <v>36</v>
      </c>
    </row>
    <row r="9" spans="1:28" x14ac:dyDescent="0.25">
      <c r="A9" t="s">
        <v>38</v>
      </c>
      <c r="B9">
        <v>8</v>
      </c>
      <c r="C9" s="3">
        <v>6</v>
      </c>
      <c r="D9">
        <v>35500</v>
      </c>
      <c r="E9">
        <v>128</v>
      </c>
      <c r="F9">
        <v>26700</v>
      </c>
      <c r="G9">
        <v>1.23</v>
      </c>
      <c r="H9">
        <v>0.90200000000000002</v>
      </c>
      <c r="I9">
        <v>5.18</v>
      </c>
      <c r="J9" s="3">
        <f t="shared" si="2"/>
        <v>3.3419354838709676</v>
      </c>
      <c r="K9">
        <v>66</v>
      </c>
      <c r="L9" s="3">
        <v>1.8</v>
      </c>
      <c r="M9">
        <v>2.5999999999999999E-2</v>
      </c>
      <c r="N9" s="3">
        <v>1.55</v>
      </c>
      <c r="O9" s="3">
        <v>6160</v>
      </c>
      <c r="P9">
        <v>7130</v>
      </c>
      <c r="Q9">
        <v>1.86</v>
      </c>
      <c r="R9" s="3">
        <v>2.4899999999999999E-2</v>
      </c>
      <c r="S9" s="1">
        <v>50000</v>
      </c>
      <c r="T9">
        <v>6</v>
      </c>
      <c r="U9">
        <f t="shared" si="5"/>
        <v>20.051612903225806</v>
      </c>
      <c r="V9">
        <f t="shared" si="0"/>
        <v>5.4119999999999999</v>
      </c>
      <c r="W9">
        <f t="shared" si="1"/>
        <v>0.90200000000000002</v>
      </c>
      <c r="X9">
        <f t="shared" si="3"/>
        <v>3.3419354838709676</v>
      </c>
      <c r="Y9">
        <f t="shared" si="4"/>
        <v>8.1168831168831161</v>
      </c>
      <c r="Z9">
        <v>4.1100000000000003</v>
      </c>
      <c r="AA9">
        <v>22.330623306233001</v>
      </c>
      <c r="AB9" s="5" t="s">
        <v>39</v>
      </c>
    </row>
    <row r="10" spans="1:28" x14ac:dyDescent="0.25">
      <c r="A10" t="s">
        <v>40</v>
      </c>
      <c r="B10">
        <v>8</v>
      </c>
      <c r="C10" s="3">
        <v>9</v>
      </c>
      <c r="D10">
        <v>29100</v>
      </c>
      <c r="E10">
        <v>63.4</v>
      </c>
      <c r="F10">
        <v>21200</v>
      </c>
      <c r="G10">
        <v>1.26</v>
      </c>
      <c r="H10">
        <v>0.497</v>
      </c>
      <c r="I10">
        <v>4.83</v>
      </c>
      <c r="J10" s="3">
        <f t="shared" si="2"/>
        <v>1.7007042253521127</v>
      </c>
      <c r="K10">
        <v>66</v>
      </c>
      <c r="L10" s="3">
        <v>5.3</v>
      </c>
      <c r="M10">
        <v>8.8999999999999996E-2</v>
      </c>
      <c r="N10" s="3">
        <v>2.84</v>
      </c>
      <c r="O10" s="3">
        <v>3360</v>
      </c>
      <c r="P10">
        <v>6260</v>
      </c>
      <c r="Q10">
        <v>1.64</v>
      </c>
      <c r="R10" s="3">
        <v>2.4899999999999999E-2</v>
      </c>
      <c r="S10" s="1">
        <v>50000</v>
      </c>
      <c r="T10">
        <v>6</v>
      </c>
      <c r="U10">
        <f t="shared" si="5"/>
        <v>15.306338028169014</v>
      </c>
      <c r="V10">
        <f t="shared" si="0"/>
        <v>4.4729999999999999</v>
      </c>
      <c r="W10">
        <f t="shared" si="1"/>
        <v>0.74549999999999994</v>
      </c>
      <c r="X10">
        <f t="shared" si="3"/>
        <v>2.551056338028169</v>
      </c>
      <c r="Y10">
        <f t="shared" si="4"/>
        <v>14.880952380952381</v>
      </c>
      <c r="Z10">
        <v>4.1100000000000003</v>
      </c>
      <c r="AA10">
        <v>22.330623306233001</v>
      </c>
      <c r="AB10" t="s">
        <v>39</v>
      </c>
    </row>
    <row r="11" spans="1:28" x14ac:dyDescent="0.25">
      <c r="A11" t="s">
        <v>41</v>
      </c>
      <c r="B11">
        <v>8</v>
      </c>
      <c r="C11" s="3">
        <v>12</v>
      </c>
      <c r="D11">
        <v>30500</v>
      </c>
      <c r="E11">
        <v>50.9</v>
      </c>
      <c r="F11">
        <v>22800</v>
      </c>
      <c r="G11">
        <v>1.26</v>
      </c>
      <c r="H11">
        <v>0.39100000000000001</v>
      </c>
      <c r="I11">
        <v>5.18</v>
      </c>
      <c r="J11" s="3">
        <f t="shared" si="2"/>
        <v>1.4309392265193368</v>
      </c>
      <c r="K11">
        <v>67</v>
      </c>
      <c r="L11" s="3">
        <v>8.3800000000000008</v>
      </c>
      <c r="M11">
        <v>0.14399999999999999</v>
      </c>
      <c r="N11" s="3">
        <v>3.62</v>
      </c>
      <c r="O11" s="3">
        <v>2640</v>
      </c>
      <c r="P11">
        <v>6110</v>
      </c>
      <c r="Q11">
        <v>1.6</v>
      </c>
      <c r="R11" s="3">
        <v>2.4899999999999999E-2</v>
      </c>
      <c r="S11" s="1">
        <v>50000</v>
      </c>
      <c r="T11">
        <v>6</v>
      </c>
      <c r="U11">
        <f t="shared" si="5"/>
        <v>17.171270718232041</v>
      </c>
      <c r="V11">
        <f t="shared" si="0"/>
        <v>4.6920000000000002</v>
      </c>
      <c r="W11">
        <f t="shared" si="1"/>
        <v>0.78200000000000003</v>
      </c>
      <c r="X11">
        <f t="shared" si="3"/>
        <v>2.8618784530386736</v>
      </c>
      <c r="Y11">
        <f t="shared" si="4"/>
        <v>18.939393939393938</v>
      </c>
      <c r="Z11">
        <v>4.1100000000000003</v>
      </c>
      <c r="AA11">
        <v>22.330623306233001</v>
      </c>
      <c r="AB11" t="s">
        <v>39</v>
      </c>
    </row>
    <row r="12" spans="1:28" x14ac:dyDescent="0.25">
      <c r="A12" t="s">
        <v>42</v>
      </c>
      <c r="B12">
        <v>8</v>
      </c>
      <c r="C12" s="3">
        <v>6</v>
      </c>
      <c r="D12">
        <v>35400</v>
      </c>
      <c r="E12">
        <v>105</v>
      </c>
      <c r="F12">
        <v>24200</v>
      </c>
      <c r="G12">
        <v>0.91700000000000004</v>
      </c>
      <c r="H12">
        <v>0.68700000000000006</v>
      </c>
      <c r="I12">
        <v>3.04</v>
      </c>
      <c r="J12" s="3">
        <f t="shared" si="2"/>
        <v>1.9869281045751634</v>
      </c>
      <c r="K12">
        <v>61</v>
      </c>
      <c r="L12" s="3">
        <v>3.02</v>
      </c>
      <c r="M12">
        <v>3.9E-2</v>
      </c>
      <c r="N12" s="3">
        <v>1.53</v>
      </c>
      <c r="O12" s="3">
        <v>6230</v>
      </c>
      <c r="P12">
        <v>12300</v>
      </c>
      <c r="Q12">
        <v>3.21</v>
      </c>
      <c r="R12" s="3">
        <v>2.4899999999999999E-2</v>
      </c>
      <c r="S12" s="1">
        <v>50000</v>
      </c>
      <c r="T12">
        <v>6</v>
      </c>
      <c r="U12">
        <f t="shared" si="5"/>
        <v>11.921568627450981</v>
      </c>
      <c r="V12">
        <f t="shared" si="0"/>
        <v>4.1219999999999999</v>
      </c>
      <c r="W12">
        <f t="shared" si="1"/>
        <v>0.68699999999999994</v>
      </c>
      <c r="X12">
        <f t="shared" si="3"/>
        <v>1.9869281045751634</v>
      </c>
      <c r="Y12">
        <f t="shared" si="4"/>
        <v>8.0256821829855536</v>
      </c>
      <c r="Z12">
        <v>3.5</v>
      </c>
      <c r="AA12">
        <v>22.330623306233001</v>
      </c>
      <c r="AB12" s="5" t="s">
        <v>43</v>
      </c>
    </row>
    <row r="13" spans="1:28" x14ac:dyDescent="0.25">
      <c r="A13" t="s">
        <v>44</v>
      </c>
      <c r="B13">
        <v>8</v>
      </c>
      <c r="C13" s="3">
        <v>12</v>
      </c>
      <c r="D13">
        <v>43300</v>
      </c>
      <c r="E13">
        <v>69</v>
      </c>
      <c r="F13">
        <v>33100</v>
      </c>
      <c r="G13">
        <v>0.874</v>
      </c>
      <c r="H13">
        <v>0.40600000000000003</v>
      </c>
      <c r="I13">
        <v>3.88</v>
      </c>
      <c r="J13" s="3">
        <f t="shared" si="2"/>
        <v>1.5458167330677293</v>
      </c>
      <c r="K13">
        <v>63</v>
      </c>
      <c r="L13" s="3">
        <v>7.8</v>
      </c>
      <c r="M13">
        <v>0.106</v>
      </c>
      <c r="N13" s="3">
        <v>2.5099999999999998</v>
      </c>
      <c r="O13" s="3">
        <v>3780</v>
      </c>
      <c r="P13">
        <v>11700</v>
      </c>
      <c r="Q13">
        <v>3.06</v>
      </c>
      <c r="R13" s="3">
        <v>2.4899999999999999E-2</v>
      </c>
      <c r="S13" s="1">
        <v>50000</v>
      </c>
      <c r="T13">
        <v>6</v>
      </c>
      <c r="U13">
        <f t="shared" si="5"/>
        <v>18.54980079681275</v>
      </c>
      <c r="V13">
        <f t="shared" si="0"/>
        <v>4.8719999999999999</v>
      </c>
      <c r="W13">
        <f t="shared" si="1"/>
        <v>0.81199999999999994</v>
      </c>
      <c r="X13">
        <f t="shared" si="3"/>
        <v>3.0916334661354585</v>
      </c>
      <c r="Y13">
        <f t="shared" si="4"/>
        <v>13.227513227513228</v>
      </c>
      <c r="Z13">
        <v>3.5</v>
      </c>
      <c r="AA13">
        <v>22.330623306233001</v>
      </c>
      <c r="AB13" t="s">
        <v>43</v>
      </c>
    </row>
    <row r="14" spans="1:28" x14ac:dyDescent="0.25">
      <c r="A14" t="s">
        <v>45</v>
      </c>
      <c r="B14">
        <v>8</v>
      </c>
      <c r="C14" s="3">
        <v>24</v>
      </c>
      <c r="D14">
        <v>42200</v>
      </c>
      <c r="E14">
        <v>33.200000000000003</v>
      </c>
      <c r="F14">
        <v>32300</v>
      </c>
      <c r="G14">
        <v>0.877</v>
      </c>
      <c r="H14">
        <v>0.19800000000000001</v>
      </c>
      <c r="I14">
        <v>3.92</v>
      </c>
      <c r="J14" s="3">
        <f t="shared" si="2"/>
        <v>0.75529865125240836</v>
      </c>
      <c r="K14">
        <v>64</v>
      </c>
      <c r="L14" s="3">
        <v>31.8</v>
      </c>
      <c r="M14">
        <v>0.44700000000000001</v>
      </c>
      <c r="N14" s="3">
        <v>5.19</v>
      </c>
      <c r="O14" s="3">
        <v>1840</v>
      </c>
      <c r="P14">
        <v>11300</v>
      </c>
      <c r="Q14">
        <v>2.95</v>
      </c>
      <c r="R14" s="3">
        <v>2.4899999999999999E-2</v>
      </c>
      <c r="S14" s="1">
        <v>50000</v>
      </c>
      <c r="T14">
        <v>6</v>
      </c>
      <c r="U14">
        <f t="shared" si="5"/>
        <v>18.127167630057802</v>
      </c>
      <c r="V14">
        <f t="shared" si="0"/>
        <v>4.7520000000000007</v>
      </c>
      <c r="W14">
        <f t="shared" si="1"/>
        <v>0.79200000000000015</v>
      </c>
      <c r="X14">
        <f t="shared" si="3"/>
        <v>3.0211946050096334</v>
      </c>
      <c r="Y14">
        <f t="shared" si="4"/>
        <v>27.173913043478262</v>
      </c>
      <c r="Z14">
        <v>3.5</v>
      </c>
      <c r="AA14">
        <v>22.330623306233001</v>
      </c>
      <c r="AB14" t="s">
        <v>43</v>
      </c>
    </row>
    <row r="15" spans="1:28" x14ac:dyDescent="0.25">
      <c r="A15" t="s">
        <v>46</v>
      </c>
      <c r="B15">
        <v>6</v>
      </c>
      <c r="C15" s="3">
        <v>6</v>
      </c>
      <c r="D15">
        <v>48600</v>
      </c>
      <c r="E15">
        <v>56</v>
      </c>
      <c r="F15">
        <v>21820</v>
      </c>
      <c r="G15">
        <v>0.28000000000000003</v>
      </c>
      <c r="H15">
        <v>0.311</v>
      </c>
      <c r="I15">
        <v>0.73199999999999998</v>
      </c>
      <c r="J15" s="3">
        <f t="shared" si="2"/>
        <v>0.67155963302752286</v>
      </c>
      <c r="K15">
        <v>51</v>
      </c>
      <c r="L15" s="3">
        <v>8.8000000000000007</v>
      </c>
      <c r="M15">
        <v>2.8000000000000001E-2</v>
      </c>
      <c r="N15" s="3">
        <v>1.0900000000000001</v>
      </c>
      <c r="O15" s="3">
        <v>8761</v>
      </c>
      <c r="P15">
        <v>70730</v>
      </c>
      <c r="Q15">
        <v>7</v>
      </c>
      <c r="R15" s="3">
        <v>9.4999999999999998E-3</v>
      </c>
      <c r="S15" s="1">
        <v>100000</v>
      </c>
      <c r="T15">
        <v>2.5</v>
      </c>
      <c r="U15">
        <f t="shared" si="5"/>
        <v>4.0293577981651367</v>
      </c>
      <c r="V15">
        <f t="shared" si="0"/>
        <v>1.8660000000000001</v>
      </c>
      <c r="W15">
        <f t="shared" si="1"/>
        <v>0.74640000000000006</v>
      </c>
      <c r="X15">
        <f t="shared" si="3"/>
        <v>1.6117431192660547</v>
      </c>
      <c r="Y15">
        <f t="shared" si="4"/>
        <v>11.414222120762471</v>
      </c>
      <c r="Z15">
        <v>13.2</v>
      </c>
      <c r="AA15">
        <v>16.7</v>
      </c>
      <c r="AB15" s="5" t="s">
        <v>47</v>
      </c>
    </row>
    <row r="16" spans="1:28" x14ac:dyDescent="0.25">
      <c r="A16" t="s">
        <v>48</v>
      </c>
      <c r="B16">
        <v>6</v>
      </c>
      <c r="C16" s="3">
        <v>12</v>
      </c>
      <c r="D16">
        <v>37300</v>
      </c>
      <c r="E16">
        <v>18</v>
      </c>
      <c r="F16">
        <v>7290</v>
      </c>
      <c r="G16">
        <v>0.3</v>
      </c>
      <c r="H16">
        <v>0.122</v>
      </c>
      <c r="I16">
        <v>0.55100000000000005</v>
      </c>
      <c r="J16" s="3">
        <f t="shared" si="2"/>
        <v>0.19539007092198585</v>
      </c>
      <c r="K16">
        <v>50</v>
      </c>
      <c r="L16" s="3">
        <v>60.2</v>
      </c>
      <c r="M16">
        <v>0.192</v>
      </c>
      <c r="N16" s="3">
        <v>2.82</v>
      </c>
      <c r="O16" s="3">
        <v>3386</v>
      </c>
      <c r="P16">
        <v>72289</v>
      </c>
      <c r="Q16">
        <v>7.2</v>
      </c>
      <c r="R16" s="3">
        <v>9.4999999999999998E-3</v>
      </c>
      <c r="S16" s="1">
        <v>100000</v>
      </c>
      <c r="T16">
        <v>2.5</v>
      </c>
      <c r="U16">
        <f t="shared" si="5"/>
        <v>2.3446808510638304</v>
      </c>
      <c r="V16">
        <f t="shared" si="0"/>
        <v>1.464</v>
      </c>
      <c r="W16">
        <f t="shared" si="1"/>
        <v>0.58560000000000001</v>
      </c>
      <c r="X16">
        <f t="shared" si="3"/>
        <v>0.93787234042553214</v>
      </c>
      <c r="Y16">
        <f t="shared" si="4"/>
        <v>29.533372711163615</v>
      </c>
      <c r="Z16">
        <v>13.2</v>
      </c>
      <c r="AA16">
        <v>16.7</v>
      </c>
      <c r="AB16" t="s">
        <v>47</v>
      </c>
    </row>
    <row r="17" spans="1:28" x14ac:dyDescent="0.25">
      <c r="A17" t="s">
        <v>49</v>
      </c>
      <c r="B17">
        <v>8</v>
      </c>
      <c r="C17" s="3">
        <v>6</v>
      </c>
      <c r="D17">
        <v>35100</v>
      </c>
      <c r="E17">
        <v>55</v>
      </c>
      <c r="F17">
        <v>22120</v>
      </c>
      <c r="G17">
        <v>0.89</v>
      </c>
      <c r="H17">
        <v>0.66</v>
      </c>
      <c r="I17">
        <v>3.28</v>
      </c>
      <c r="J17" s="3">
        <f t="shared" si="2"/>
        <v>2.0499999999999998</v>
      </c>
      <c r="K17">
        <v>70</v>
      </c>
      <c r="L17" s="3">
        <v>2.91</v>
      </c>
      <c r="M17">
        <v>0.03</v>
      </c>
      <c r="N17" s="3">
        <v>1.6</v>
      </c>
      <c r="O17" s="3">
        <v>5968</v>
      </c>
      <c r="P17">
        <v>10855</v>
      </c>
      <c r="Q17">
        <v>2.4</v>
      </c>
      <c r="R17" s="3">
        <v>2.8500000000000001E-2</v>
      </c>
      <c r="S17" s="1">
        <v>90000</v>
      </c>
      <c r="T17">
        <v>5.2</v>
      </c>
      <c r="U17">
        <f t="shared" si="5"/>
        <v>12.299999999999999</v>
      </c>
      <c r="V17">
        <f t="shared" si="0"/>
        <v>3.96</v>
      </c>
      <c r="W17">
        <f t="shared" si="1"/>
        <v>0.7615384615384615</v>
      </c>
      <c r="X17">
        <f t="shared" si="3"/>
        <v>2.365384615384615</v>
      </c>
      <c r="Y17">
        <f t="shared" si="4"/>
        <v>15.080428954423592</v>
      </c>
      <c r="Z17">
        <v>11.2</v>
      </c>
      <c r="AA17">
        <v>22.3</v>
      </c>
      <c r="AB17" s="5" t="s">
        <v>50</v>
      </c>
    </row>
    <row r="18" spans="1:28" x14ac:dyDescent="0.25">
      <c r="A18" t="s">
        <v>51</v>
      </c>
      <c r="B18">
        <v>8</v>
      </c>
      <c r="C18" s="3">
        <v>12</v>
      </c>
      <c r="D18">
        <v>37500</v>
      </c>
      <c r="E18">
        <v>31</v>
      </c>
      <c r="F18">
        <v>24560</v>
      </c>
      <c r="G18">
        <v>0.86</v>
      </c>
      <c r="H18">
        <v>0.34100000000000003</v>
      </c>
      <c r="I18">
        <v>3.34</v>
      </c>
      <c r="J18" s="3">
        <f t="shared" si="2"/>
        <v>1.1133333333333333</v>
      </c>
      <c r="K18">
        <v>70</v>
      </c>
      <c r="L18" s="3">
        <v>10.7</v>
      </c>
      <c r="M18">
        <v>0.107</v>
      </c>
      <c r="N18" s="3">
        <v>3</v>
      </c>
      <c r="O18" s="3">
        <v>3183</v>
      </c>
      <c r="P18">
        <v>11353</v>
      </c>
      <c r="Q18">
        <v>2.5</v>
      </c>
      <c r="R18" s="3">
        <v>2.8500000000000001E-2</v>
      </c>
      <c r="S18" s="1">
        <v>90000</v>
      </c>
      <c r="T18">
        <v>5.2</v>
      </c>
      <c r="U18">
        <f t="shared" si="5"/>
        <v>13.36</v>
      </c>
      <c r="V18">
        <f t="shared" si="0"/>
        <v>4.0920000000000005</v>
      </c>
      <c r="W18">
        <f t="shared" si="1"/>
        <v>0.78692307692307695</v>
      </c>
      <c r="X18">
        <f t="shared" si="3"/>
        <v>2.569230769230769</v>
      </c>
      <c r="Y18">
        <f t="shared" si="4"/>
        <v>28.275212064090482</v>
      </c>
      <c r="Z18">
        <v>11.2</v>
      </c>
      <c r="AA18">
        <v>22.3</v>
      </c>
      <c r="AB18" t="s">
        <v>50</v>
      </c>
    </row>
    <row r="19" spans="1:28" x14ac:dyDescent="0.25">
      <c r="A19" t="s">
        <v>52</v>
      </c>
      <c r="B19">
        <v>8</v>
      </c>
      <c r="C19" s="3">
        <v>3</v>
      </c>
      <c r="D19">
        <v>16000</v>
      </c>
      <c r="E19">
        <v>45</v>
      </c>
      <c r="F19">
        <v>7472</v>
      </c>
      <c r="G19">
        <v>0.8</v>
      </c>
      <c r="H19">
        <v>0.52100000000000002</v>
      </c>
      <c r="I19">
        <v>1.5</v>
      </c>
      <c r="J19" s="3">
        <f t="shared" si="2"/>
        <v>0.88235294117647056</v>
      </c>
      <c r="K19">
        <v>60.8</v>
      </c>
      <c r="L19" s="3">
        <v>3.24</v>
      </c>
      <c r="M19">
        <v>4.2000000000000003E-2</v>
      </c>
      <c r="N19" s="3">
        <v>1.7</v>
      </c>
      <c r="O19" s="3">
        <v>5606</v>
      </c>
      <c r="P19">
        <v>10659</v>
      </c>
      <c r="Q19">
        <v>2.79</v>
      </c>
      <c r="R19" s="3">
        <v>2.5000000000000001E-2</v>
      </c>
      <c r="S19" s="1">
        <v>80000</v>
      </c>
      <c r="T19">
        <v>6.5</v>
      </c>
      <c r="U19">
        <f t="shared" si="5"/>
        <v>2.6470588235294117</v>
      </c>
      <c r="V19">
        <f t="shared" si="0"/>
        <v>1.5630000000000002</v>
      </c>
      <c r="W19">
        <f t="shared" si="1"/>
        <v>0.24046153846153848</v>
      </c>
      <c r="X19">
        <f t="shared" si="3"/>
        <v>0.40723981900452488</v>
      </c>
      <c r="Y19">
        <f t="shared" si="4"/>
        <v>14.270424545130217</v>
      </c>
      <c r="Z19">
        <v>3.5</v>
      </c>
      <c r="AA19">
        <v>22.3</v>
      </c>
      <c r="AB19" s="5" t="s">
        <v>53</v>
      </c>
    </row>
    <row r="20" spans="1:28" x14ac:dyDescent="0.25">
      <c r="A20" t="s">
        <v>54</v>
      </c>
      <c r="B20">
        <v>8</v>
      </c>
      <c r="C20" s="3">
        <v>6</v>
      </c>
      <c r="D20">
        <v>35800</v>
      </c>
      <c r="E20">
        <v>69</v>
      </c>
      <c r="F20">
        <v>23963</v>
      </c>
      <c r="G20">
        <v>0.97499999999999998</v>
      </c>
      <c r="H20">
        <v>0.70199999999999996</v>
      </c>
      <c r="I20">
        <v>2.96</v>
      </c>
      <c r="J20" s="3">
        <f t="shared" si="2"/>
        <v>1.9220779220779221</v>
      </c>
      <c r="K20">
        <v>66.099999999999994</v>
      </c>
      <c r="L20" s="3">
        <v>3.02</v>
      </c>
      <c r="M20">
        <v>0.04</v>
      </c>
      <c r="N20" s="3">
        <v>1.54</v>
      </c>
      <c r="O20" s="3">
        <v>6182</v>
      </c>
      <c r="P20">
        <v>12116</v>
      </c>
      <c r="Q20">
        <v>3.17</v>
      </c>
      <c r="R20" s="3">
        <v>2.5000000000000001E-2</v>
      </c>
      <c r="S20" s="1">
        <v>80000</v>
      </c>
      <c r="T20">
        <v>6.5</v>
      </c>
      <c r="U20">
        <f t="shared" si="5"/>
        <v>11.532467532467532</v>
      </c>
      <c r="V20">
        <f t="shared" si="0"/>
        <v>4.2119999999999997</v>
      </c>
      <c r="W20">
        <f t="shared" si="1"/>
        <v>0.64799999999999991</v>
      </c>
      <c r="X20">
        <f t="shared" si="3"/>
        <v>1.7742257742257741</v>
      </c>
      <c r="Y20">
        <f t="shared" si="4"/>
        <v>12.940795858945325</v>
      </c>
      <c r="Z20">
        <v>3.5</v>
      </c>
      <c r="AA20">
        <v>22.3</v>
      </c>
      <c r="AB20" t="s">
        <v>53</v>
      </c>
    </row>
    <row r="21" spans="1:28" x14ac:dyDescent="0.25">
      <c r="A21" t="s">
        <v>55</v>
      </c>
      <c r="B21">
        <v>8</v>
      </c>
      <c r="C21" s="3">
        <v>12</v>
      </c>
      <c r="D21">
        <v>42000</v>
      </c>
      <c r="E21">
        <v>75</v>
      </c>
      <c r="F21">
        <v>34683</v>
      </c>
      <c r="G21">
        <v>0.73</v>
      </c>
      <c r="H21">
        <v>0.35499999999999998</v>
      </c>
      <c r="I21">
        <v>4.2</v>
      </c>
      <c r="J21" s="3">
        <f t="shared" si="2"/>
        <v>1.6091954022988508</v>
      </c>
      <c r="K21">
        <v>62.3</v>
      </c>
      <c r="L21" s="3">
        <v>7.12</v>
      </c>
      <c r="M21">
        <v>0.95699999999999996</v>
      </c>
      <c r="N21" s="3">
        <v>2.61</v>
      </c>
      <c r="O21" s="3">
        <v>3663</v>
      </c>
      <c r="P21">
        <v>9993</v>
      </c>
      <c r="Q21">
        <v>2.62</v>
      </c>
      <c r="R21" s="3">
        <v>2.5000000000000001E-2</v>
      </c>
      <c r="S21" s="1">
        <v>80000</v>
      </c>
      <c r="T21">
        <v>6.5</v>
      </c>
      <c r="U21">
        <f t="shared" si="5"/>
        <v>19.31034482758621</v>
      </c>
      <c r="V21">
        <f t="shared" si="0"/>
        <v>4.26</v>
      </c>
      <c r="W21">
        <f t="shared" si="1"/>
        <v>0.65538461538461534</v>
      </c>
      <c r="X21">
        <f t="shared" si="3"/>
        <v>2.9708222811671092</v>
      </c>
      <c r="Y21">
        <f t="shared" si="4"/>
        <v>21.840021840021841</v>
      </c>
      <c r="Z21">
        <v>3.5</v>
      </c>
      <c r="AA21">
        <v>22.3</v>
      </c>
      <c r="AB21" t="s">
        <v>53</v>
      </c>
    </row>
    <row r="22" spans="1:28" x14ac:dyDescent="0.25">
      <c r="A22" t="s">
        <v>56</v>
      </c>
      <c r="B22">
        <v>8</v>
      </c>
      <c r="C22" s="3">
        <v>24</v>
      </c>
      <c r="D22">
        <v>42650</v>
      </c>
      <c r="E22">
        <v>22</v>
      </c>
      <c r="F22">
        <v>32200</v>
      </c>
      <c r="G22">
        <v>0.94199999999999995</v>
      </c>
      <c r="H22">
        <v>0.20300000000000001</v>
      </c>
      <c r="I22">
        <v>3.85</v>
      </c>
      <c r="J22" s="3">
        <f t="shared" si="2"/>
        <v>0.73754789272030652</v>
      </c>
      <c r="K22">
        <v>68.8</v>
      </c>
      <c r="L22" s="3">
        <v>31.6</v>
      </c>
      <c r="M22">
        <v>0.44600000000000001</v>
      </c>
      <c r="N22" s="3">
        <v>5.22</v>
      </c>
      <c r="O22" s="3">
        <v>1830</v>
      </c>
      <c r="P22">
        <v>11093</v>
      </c>
      <c r="Q22">
        <v>2.9</v>
      </c>
      <c r="R22" s="3">
        <v>2.5000000000000001E-2</v>
      </c>
      <c r="S22" s="1">
        <v>80000</v>
      </c>
      <c r="T22">
        <v>6.5</v>
      </c>
      <c r="U22">
        <f t="shared" si="5"/>
        <v>17.701149425287355</v>
      </c>
      <c r="V22">
        <f t="shared" si="0"/>
        <v>4.8719999999999999</v>
      </c>
      <c r="W22">
        <f t="shared" si="1"/>
        <v>0.74953846153846149</v>
      </c>
      <c r="X22">
        <f t="shared" si="3"/>
        <v>2.7232537577365159</v>
      </c>
      <c r="Y22">
        <f t="shared" si="4"/>
        <v>43.715846994535518</v>
      </c>
      <c r="Z22">
        <v>3.5</v>
      </c>
      <c r="AA22">
        <v>22.3</v>
      </c>
      <c r="AB22" t="s">
        <v>53</v>
      </c>
    </row>
  </sheetData>
  <phoneticPr fontId="6" type="noConversion"/>
  <hyperlinks>
    <hyperlink ref="AB2" r:id="rId1" xr:uid="{00000000-0004-0000-0000-000000000000}"/>
    <hyperlink ref="AB4" r:id="rId2" xr:uid="{00000000-0004-0000-0000-000001000000}"/>
    <hyperlink ref="AB7" r:id="rId3" xr:uid="{00000000-0004-0000-0000-000002000000}"/>
    <hyperlink ref="AB9" r:id="rId4" xr:uid="{00000000-0004-0000-0000-000003000000}"/>
    <hyperlink ref="AB12" r:id="rId5" xr:uid="{00000000-0004-0000-0000-000004000000}"/>
    <hyperlink ref="AB15" r:id="rId6" xr:uid="{00000000-0004-0000-0000-000005000000}"/>
    <hyperlink ref="AB19" r:id="rId7" xr:uid="{00000000-0004-0000-0000-000006000000}"/>
    <hyperlink ref="AB17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明昊 张</dc:creator>
  <cp:lastModifiedBy>明昊 张</cp:lastModifiedBy>
  <dcterms:created xsi:type="dcterms:W3CDTF">2024-05-08T17:07:00Z</dcterms:created>
  <dcterms:modified xsi:type="dcterms:W3CDTF">2024-05-25T12:09:01Z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2052-11.1.0.11704</vt:lpwstr>
  </property>
</Properties>
</file>